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STCHOICE APP\BESTCHOICE\docs\accounting\"/>
    </mc:Choice>
  </mc:AlternateContent>
  <xr:revisionPtr revIDLastSave="0" documentId="13_ncr:1_{5A65AABB-9DB8-4D65-A44E-B7629FA23CA1}" xr6:coauthVersionLast="47" xr6:coauthVersionMax="47" xr10:uidLastSave="{00000000-0000-0000-0000-000000000000}"/>
  <bookViews>
    <workbookView xWindow="2250" yWindow="2770" windowWidth="25800" windowHeight="9970" xr2:uid="{00000000-000D-0000-FFFF-FFFF00000000}"/>
  </bookViews>
  <sheets>
    <sheet name="1-สรุปผู้บริหาร" sheetId="1" r:id="rId1"/>
    <sheet name="2-พอร์ตสัญญา" sheetId="2" r:id="rId2"/>
    <sheet name="3-Aging-Bucket" sheetId="3" r:id="rId3"/>
    <sheet name="4-Scenarios-สมศักดิ์" sheetId="4" r:id="rId4"/>
    <sheet name="5-JE-สมศักดิ์" sheetId="5" r:id="rId5"/>
    <sheet name="6-JP5-Breakdown" sheetId="6" r:id="rId6"/>
    <sheet name="7-ติดตามบอกเลิก" sheetId="7" r:id="rId7"/>
    <sheet name="8-CPA-Not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7" l="1"/>
  <c r="G15" i="7"/>
  <c r="G14" i="7"/>
  <c r="G13" i="7"/>
  <c r="G12" i="7"/>
  <c r="G11" i="7"/>
  <c r="G10" i="7"/>
  <c r="G9" i="7"/>
  <c r="G8" i="7"/>
  <c r="G7" i="7"/>
  <c r="G6" i="7"/>
  <c r="L12" i="6"/>
  <c r="J11" i="6"/>
  <c r="I11" i="6"/>
  <c r="H11" i="6"/>
  <c r="F11" i="6"/>
  <c r="G11" i="6" s="1"/>
  <c r="K10" i="6"/>
  <c r="J10" i="6"/>
  <c r="I10" i="6"/>
  <c r="H10" i="6"/>
  <c r="F10" i="6"/>
  <c r="G10" i="6" s="1"/>
  <c r="J9" i="6"/>
  <c r="I9" i="6"/>
  <c r="H9" i="6"/>
  <c r="F9" i="6"/>
  <c r="K9" i="6" s="1"/>
  <c r="J8" i="6"/>
  <c r="I8" i="6"/>
  <c r="H8" i="6"/>
  <c r="F8" i="6"/>
  <c r="K8" i="6" s="1"/>
  <c r="J7" i="6"/>
  <c r="I7" i="6"/>
  <c r="H7" i="6"/>
  <c r="F7" i="6"/>
  <c r="G7" i="6" s="1"/>
  <c r="K6" i="6"/>
  <c r="J6" i="6"/>
  <c r="I6" i="6"/>
  <c r="H6" i="6"/>
  <c r="F6" i="6"/>
  <c r="G6" i="6" s="1"/>
  <c r="E58" i="5"/>
  <c r="D58" i="5"/>
  <c r="E43" i="5"/>
  <c r="D43" i="5"/>
  <c r="F43" i="5" s="1"/>
  <c r="E37" i="5"/>
  <c r="F37" i="5" s="1"/>
  <c r="D37" i="5"/>
  <c r="E31" i="5"/>
  <c r="F31" i="5" s="1"/>
  <c r="D31" i="5"/>
  <c r="E20" i="5"/>
  <c r="D20" i="5"/>
  <c r="E13" i="5"/>
  <c r="D13" i="5"/>
  <c r="F13" i="5" s="1"/>
  <c r="E28" i="4"/>
  <c r="E27" i="4"/>
  <c r="G27" i="4" s="1"/>
  <c r="F12" i="4"/>
  <c r="E12" i="4"/>
  <c r="D12" i="4"/>
  <c r="C12" i="4"/>
  <c r="F11" i="4"/>
  <c r="E11" i="4"/>
  <c r="D11" i="4"/>
  <c r="C11" i="4"/>
  <c r="F10" i="4"/>
  <c r="E10" i="4"/>
  <c r="D10" i="4"/>
  <c r="C10" i="4"/>
  <c r="F8" i="4"/>
  <c r="F13" i="4" s="1"/>
  <c r="F21" i="4" s="1"/>
  <c r="F22" i="4" s="1"/>
  <c r="E8" i="4"/>
  <c r="E9" i="4" s="1"/>
  <c r="D8" i="4"/>
  <c r="D9" i="4" s="1"/>
  <c r="C8" i="4"/>
  <c r="C9" i="4" s="1"/>
  <c r="G8" i="3"/>
  <c r="G6" i="3"/>
  <c r="G63" i="2"/>
  <c r="E63" i="2"/>
  <c r="F63" i="2" s="1"/>
  <c r="G62" i="2"/>
  <c r="E62" i="2"/>
  <c r="F62" i="2" s="1"/>
  <c r="G61" i="2"/>
  <c r="E61" i="2"/>
  <c r="F61" i="2" s="1"/>
  <c r="G60" i="2"/>
  <c r="E60" i="2"/>
  <c r="F60" i="2" s="1"/>
  <c r="G59" i="2"/>
  <c r="E59" i="2"/>
  <c r="F59" i="2" s="1"/>
  <c r="G58" i="2"/>
  <c r="E58" i="2"/>
  <c r="F58" i="2" s="1"/>
  <c r="G57" i="2"/>
  <c r="E57" i="2"/>
  <c r="F57" i="2" s="1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36" i="2"/>
  <c r="E36" i="2"/>
  <c r="F36" i="2" s="1"/>
  <c r="G35" i="2"/>
  <c r="E35" i="2"/>
  <c r="F35" i="2" s="1"/>
  <c r="G34" i="2"/>
  <c r="E34" i="2"/>
  <c r="F34" i="2" s="1"/>
  <c r="G33" i="2"/>
  <c r="E33" i="2"/>
  <c r="F33" i="2" s="1"/>
  <c r="G32" i="2"/>
  <c r="H32" i="2" s="1"/>
  <c r="E32" i="2"/>
  <c r="F32" i="2" s="1"/>
  <c r="G31" i="2"/>
  <c r="E31" i="2"/>
  <c r="F31" i="2" s="1"/>
  <c r="G30" i="2"/>
  <c r="E30" i="2"/>
  <c r="F30" i="2" s="1"/>
  <c r="G29" i="2"/>
  <c r="E29" i="2"/>
  <c r="F29" i="2" s="1"/>
  <c r="G28" i="2"/>
  <c r="E28" i="2"/>
  <c r="F28" i="2" s="1"/>
  <c r="G27" i="2"/>
  <c r="E27" i="2"/>
  <c r="F27" i="2" s="1"/>
  <c r="G26" i="2"/>
  <c r="E26" i="2"/>
  <c r="F26" i="2" s="1"/>
  <c r="G25" i="2"/>
  <c r="E25" i="2"/>
  <c r="F25" i="2" s="1"/>
  <c r="G24" i="2"/>
  <c r="E24" i="2"/>
  <c r="G9" i="3" s="1"/>
  <c r="G23" i="2"/>
  <c r="E23" i="2"/>
  <c r="F23" i="2" s="1"/>
  <c r="G22" i="2"/>
  <c r="E22" i="2"/>
  <c r="G6" i="2" s="1"/>
  <c r="E17" i="2"/>
  <c r="J15" i="2"/>
  <c r="F15" i="2"/>
  <c r="F14" i="2"/>
  <c r="F13" i="2"/>
  <c r="F12" i="2"/>
  <c r="G11" i="2"/>
  <c r="F11" i="2"/>
  <c r="F10" i="2"/>
  <c r="G9" i="2"/>
  <c r="F9" i="2"/>
  <c r="F8" i="2"/>
  <c r="G7" i="2"/>
  <c r="H7" i="2" s="1"/>
  <c r="F7" i="2"/>
  <c r="F6" i="2"/>
  <c r="C15" i="4" l="1"/>
  <c r="H9" i="3"/>
  <c r="H49" i="2"/>
  <c r="H48" i="2"/>
  <c r="G12" i="2"/>
  <c r="H13" i="2"/>
  <c r="C13" i="4"/>
  <c r="C21" i="4" s="1"/>
  <c r="C22" i="4" s="1"/>
  <c r="H11" i="2"/>
  <c r="H33" i="2"/>
  <c r="H57" i="2"/>
  <c r="H8" i="3"/>
  <c r="D13" i="4"/>
  <c r="D21" i="4" s="1"/>
  <c r="D22" i="4" s="1"/>
  <c r="F58" i="5"/>
  <c r="G9" i="6"/>
  <c r="M9" i="6" s="1"/>
  <c r="H40" i="2"/>
  <c r="H56" i="2"/>
  <c r="G13" i="2"/>
  <c r="E13" i="4"/>
  <c r="E21" i="4" s="1"/>
  <c r="E22" i="4" s="1"/>
  <c r="H12" i="6"/>
  <c r="H41" i="2"/>
  <c r="H12" i="2"/>
  <c r="H28" i="4"/>
  <c r="H25" i="2"/>
  <c r="F17" i="2"/>
  <c r="G28" i="4"/>
  <c r="I12" i="6"/>
  <c r="J12" i="6"/>
  <c r="H30" i="2"/>
  <c r="H54" i="2"/>
  <c r="G8" i="2"/>
  <c r="H8" i="2" s="1"/>
  <c r="M10" i="6"/>
  <c r="H38" i="2"/>
  <c r="H46" i="2"/>
  <c r="H62" i="2"/>
  <c r="H9" i="2"/>
  <c r="G65" i="2"/>
  <c r="F20" i="5"/>
  <c r="H34" i="2"/>
  <c r="H58" i="2"/>
  <c r="H42" i="2"/>
  <c r="H35" i="2"/>
  <c r="I10" i="2" s="1"/>
  <c r="N7" i="6" s="1"/>
  <c r="H43" i="2"/>
  <c r="H51" i="2"/>
  <c r="H59" i="2"/>
  <c r="I14" i="2" s="1"/>
  <c r="N11" i="6" s="1"/>
  <c r="C17" i="4"/>
  <c r="C19" i="4" s="1"/>
  <c r="H50" i="2"/>
  <c r="H28" i="2"/>
  <c r="H60" i="2"/>
  <c r="M6" i="6"/>
  <c r="H29" i="2"/>
  <c r="H37" i="2"/>
  <c r="H45" i="2"/>
  <c r="H53" i="2"/>
  <c r="H61" i="2"/>
  <c r="I6" i="3"/>
  <c r="H36" i="2"/>
  <c r="H44" i="2"/>
  <c r="H52" i="2"/>
  <c r="H26" i="2"/>
  <c r="M7" i="6"/>
  <c r="H31" i="2"/>
  <c r="H39" i="2"/>
  <c r="H47" i="2"/>
  <c r="H55" i="2"/>
  <c r="H63" i="2"/>
  <c r="H27" i="2"/>
  <c r="H5" i="3"/>
  <c r="H6" i="2"/>
  <c r="G10" i="2"/>
  <c r="H10" i="2" s="1"/>
  <c r="J10" i="2" s="1"/>
  <c r="F22" i="2"/>
  <c r="H22" i="2" s="1"/>
  <c r="I5" i="3" s="1"/>
  <c r="F24" i="2"/>
  <c r="H24" i="2" s="1"/>
  <c r="H27" i="4"/>
  <c r="G7" i="3"/>
  <c r="K7" i="6"/>
  <c r="K11" i="6"/>
  <c r="M11" i="6" s="1"/>
  <c r="H23" i="2"/>
  <c r="I7" i="2" s="1"/>
  <c r="J7" i="2" s="1"/>
  <c r="G5" i="3"/>
  <c r="G10" i="3" s="1"/>
  <c r="H6" i="3"/>
  <c r="H7" i="3"/>
  <c r="G14" i="2"/>
  <c r="H14" i="2" s="1"/>
  <c r="F27" i="4"/>
  <c r="F28" i="4"/>
  <c r="F9" i="4"/>
  <c r="F15" i="4" s="1"/>
  <c r="G8" i="6"/>
  <c r="M8" i="6" s="1"/>
  <c r="G12" i="6" l="1"/>
  <c r="K12" i="6"/>
  <c r="D15" i="4"/>
  <c r="D17" i="4" s="1"/>
  <c r="D19" i="4" s="1"/>
  <c r="E15" i="4"/>
  <c r="O11" i="6"/>
  <c r="Q11" i="6"/>
  <c r="I7" i="3"/>
  <c r="I8" i="2"/>
  <c r="J8" i="2" s="1"/>
  <c r="P11" i="6"/>
  <c r="R11" i="6" s="1"/>
  <c r="I11" i="2"/>
  <c r="C18" i="4"/>
  <c r="C20" i="4" s="1"/>
  <c r="H65" i="2"/>
  <c r="I6" i="2"/>
  <c r="I12" i="2"/>
  <c r="I9" i="3"/>
  <c r="M12" i="6"/>
  <c r="H17" i="2"/>
  <c r="H10" i="3"/>
  <c r="O7" i="6"/>
  <c r="F17" i="4"/>
  <c r="F19" i="4" s="1"/>
  <c r="I8" i="3"/>
  <c r="I9" i="2"/>
  <c r="J14" i="2"/>
  <c r="D18" i="4"/>
  <c r="D20" i="4" s="1"/>
  <c r="I13" i="2"/>
  <c r="E17" i="4" l="1"/>
  <c r="E18" i="4" s="1"/>
  <c r="E20" i="4" s="1"/>
  <c r="E19" i="4"/>
  <c r="I10" i="3"/>
  <c r="I17" i="2"/>
  <c r="C15" i="1" s="1"/>
  <c r="Q7" i="6"/>
  <c r="J9" i="3"/>
  <c r="J5" i="3"/>
  <c r="J7" i="3"/>
  <c r="I12" i="3"/>
  <c r="J8" i="3"/>
  <c r="J10" i="3"/>
  <c r="J6" i="3"/>
  <c r="N6" i="6"/>
  <c r="J9" i="2"/>
  <c r="F18" i="4"/>
  <c r="F20" i="4" s="1"/>
  <c r="N8" i="6"/>
  <c r="J11" i="2"/>
  <c r="P7" i="6"/>
  <c r="R7" i="6" s="1"/>
  <c r="N9" i="6"/>
  <c r="J12" i="2"/>
  <c r="J6" i="2"/>
  <c r="N10" i="6"/>
  <c r="J13" i="2"/>
  <c r="C16" i="1"/>
  <c r="C14" i="1"/>
  <c r="O8" i="6" l="1"/>
  <c r="Q8" i="6" s="1"/>
  <c r="N12" i="6"/>
  <c r="O6" i="6"/>
  <c r="O10" i="6"/>
  <c r="Q10" i="6" s="1"/>
  <c r="J17" i="2"/>
  <c r="O9" i="6"/>
  <c r="Q9" i="6" s="1"/>
  <c r="O12" i="6" l="1"/>
  <c r="Q6" i="6"/>
  <c r="Q12" i="6" s="1"/>
  <c r="P9" i="6"/>
  <c r="R9" i="6" s="1"/>
  <c r="P10" i="6"/>
  <c r="R10" i="6"/>
  <c r="P6" i="6"/>
  <c r="R6" i="6"/>
  <c r="P8" i="6"/>
  <c r="R8" i="6"/>
  <c r="R12" i="6" l="1"/>
  <c r="P12" i="6"/>
</calcChain>
</file>

<file path=xl/sharedStrings.xml><?xml version="1.0" encoding="utf-8"?>
<sst xmlns="http://schemas.openxmlformats.org/spreadsheetml/2006/main" count="396" uniqueCount="242">
  <si>
    <t>ECL Workbook v4 — ค่าเผื่อหนี้สงสัยจะสูญแบบแยกงวด (Per-Installment Aging)</t>
  </si>
  <si>
    <t>BESTCHOICE FINANCE | TFRS for NPAEs Ch.13 | สร้างจากตัวเลขระบบจริง (test goldens) 2026-07-27 | แทน workbook "Bug Fix #7"</t>
  </si>
  <si>
    <t>สิ่งที่เปลี่ยนจาก v3</t>
  </si>
  <si>
    <t>1. วิธีคิดค่าเผื่อ: แยกงวด</t>
  </si>
  <si>
    <t>แต่ละงวดค้างใช้ rate ตาม bucket ของอายุตัวเอง แล้วรวมเป็นค่าเผื่อของสัญญา (เดิม: ทั้งสัญญา × rate งวดเก่าสุด) — ตาม sheet Scenarios ที่ CPA ระบุ "ที่ถูกต้อง!"</t>
  </si>
  <si>
    <t>2. JP5/write-off: GL-based + Release</t>
  </si>
  <si>
    <t>ทุกบรรทัดล้างตามยอด GL จริง (ปิดบั๊ก over-credit เคสจ่ายบางส่วน) + release ค่าเผื่อส่วนเกินหลัง consume → 11-2102 = 0 เสมอ</t>
  </si>
  <si>
    <t>3. TERMINATED: ACCRUED gate</t>
  </si>
  <si>
    <t>ตั้งค่าเผื่อเฉพาะงวดที่ accrue เข้า 11-2103 แล้ว — งวดหลังบอกเลิก (ดอกเบี้ยยังไม่รับรู้) ไม่ตั้งสำรอง</t>
  </si>
  <si>
    <t>4. จ่ายบางส่วน: pro-rate + FEE-FIRST</t>
  </si>
  <si>
    <t>ฐาน ECL และ CN VAT ลดตามยอดค้างจริง โดยหักค่าปรับออกจากเงินรับก่อน (ค่าปรับไม่ใช่การชำระเงินต้น)</t>
  </si>
  <si>
    <t>5. Streak floor: ปิด (dormant)</t>
  </si>
  <si>
    <t>กติกา "ค้างติดต่อกัน N งวด → floor bucket" ปิดไว้ตาม workbook นี้ (ไม่มีช่อง streak) — เปิดกลับได้ด้วย config 1 แถวถ้า CPA สั่ง</t>
  </si>
  <si>
    <t>6. แก้เลขผิด v3 3 จุด</t>
  </si>
  <si>
    <t>Scenario D Net VAT 792.85→793.36 (count) / Cash Flow D →(2,245.87) / FIN-2024-010 → พร้อม JP5</t>
  </si>
  <si>
    <t>ผลกระทบต่อพอร์ต (10 สัญญา, ค้าง 42 งวด = 63,664.86 ฿)</t>
  </si>
  <si>
    <t>ค่าเผื่อวิธีเดิม v3 (ทั้งสัญญา × งวดเก่าสุด)</t>
  </si>
  <si>
    <t>ค่าเผื่อวิธีใหม่ v4 (แยกงวด)</t>
  </si>
  <si>
    <t>ลดลง (ระบบ release อัตโนมัติวันแรก — delta เทียบ GL)</t>
  </si>
  <si>
    <t>สถานะระบบ: implement + test ครบแล้วบน branch feat/ecl-per-installment (รอ CPA ยืนยัน 2 ข้อใน Sheet 8 ก่อน merge)</t>
  </si>
  <si>
    <t>พอร์ตสัญญา 10 ตัว — ค่าเผื่อหนี้สงสัยจะสูญแบบแยกงวด (ECL v4)</t>
  </si>
  <si>
    <t>ยอดค้างต่องวด = 1,515.83 ฿ (fixture 17,000/12 + VAT) | อายุงวดชุด 15+30k วัน | ชื่อลูกค้าสมมุติเพื่ออธิบาย</t>
  </si>
  <si>
    <t>สัญญา</t>
  </si>
  <si>
    <t>ลูกค้า</t>
  </si>
  <si>
    <t>สถานะ</t>
  </si>
  <si>
    <t>งวดค้าง</t>
  </si>
  <si>
    <t>11-2103 (฿)</t>
  </si>
  <si>
    <t>Bucket เก่าสุด</t>
  </si>
  <si>
    <t>ค่าเผื่อวิธีเดิม v3 (฿)</t>
  </si>
  <si>
    <t>ค่าเผื่อแยกงวด v4 (฿)</t>
  </si>
  <si>
    <t>ผลต่าง (release) (฿)</t>
  </si>
  <si>
    <t>FIN-2024-003</t>
  </si>
  <si>
    <t>สมศักดิ์</t>
  </si>
  <si>
    <t>ACTIVE</t>
  </si>
  <si>
    <t>FIN-2024-012</t>
  </si>
  <si>
    <t>วิภาดา</t>
  </si>
  <si>
    <t>FIN-2024-004</t>
  </si>
  <si>
    <t>ประเสริฐ</t>
  </si>
  <si>
    <t>OVERDUE</t>
  </si>
  <si>
    <t>FIN-2024-010</t>
  </si>
  <si>
    <t>จันทร์เพ็ญ</t>
  </si>
  <si>
    <t>TERMINATED</t>
  </si>
  <si>
    <t>FIN-2024-067</t>
  </si>
  <si>
    <t>อนุชา</t>
  </si>
  <si>
    <t>FIN-2024-089</t>
  </si>
  <si>
    <t>รัตนา</t>
  </si>
  <si>
    <t>FIN-2024-005</t>
  </si>
  <si>
    <t>สมหมาย</t>
  </si>
  <si>
    <t>FIN-2024-045</t>
  </si>
  <si>
    <t>กิตติพงษ์</t>
  </si>
  <si>
    <t>FIN-2024-023</t>
  </si>
  <si>
    <t>ดวงใจ</t>
  </si>
  <si>
    <t>FIN-2024-101</t>
  </si>
  <si>
    <t>ศิริพร</t>
  </si>
  <si>
    <t>ACTIVE (B0)</t>
  </si>
  <si>
    <t>B0 ปกติ</t>
  </si>
  <si>
    <t>รวมพอร์ต</t>
  </si>
  <si>
    <t>ยอดต่องวด (฿)</t>
  </si>
  <si>
    <t>← Source: 17,000/12 ROUND_DOWN + 1,190/12 HALF_UP (accounting.md rounding modes)</t>
  </si>
  <si>
    <t>รายละเอียดรายงวดค้าง (42 งวด) — แต่ละงวดใช้ rate ตาม bucket ของอายุตัวเอง</t>
  </si>
  <si>
    <t>งวดที่</t>
  </si>
  <si>
    <t>อายุค้าง (วัน)</t>
  </si>
  <si>
    <t>Bucket</t>
  </si>
  <si>
    <t>Rate</t>
  </si>
  <si>
    <t>ยอดค้าง (฿)</t>
  </si>
  <si>
    <t>ค่าเผื่อ (฿)</t>
  </si>
  <si>
    <t>รวม 42 งวด</t>
  </si>
  <si>
    <t>หมายเหตุ TERMINATED (ACCRUED gate): ตั้งค่าเผื่อเฉพาะงวดที่ accrue เข้า 11-2103 แล้วเท่านั้น — งวดหลังบอกเลิก (2A หยุด) ไม่ตั้งสำรอง</t>
  </si>
  <si>
    <t>ตัวอย่างจากระบบ: TERMINATED มี 3 งวด accrued (100/70/40 วัน) + 2 งวดเลยกำหนดแต่ไม่เคย accrue → ค่าเผื่อ = 2,122.16 (ไม่ใช่ 2,183.12) — ecl-terminated-base.spec.ts</t>
  </si>
  <si>
    <t>Aging Buckets — อัตราตั้งค่าเผื่อ (ECL v4 แยกงวด)</t>
  </si>
  <si>
    <t>สรุปรายงวดค้างทั้งพอร์ต (aggregate จาก Sheet 2)</t>
  </si>
  <si>
    <t>Source: SystemConfig bad_debt_provision_rates + bad-debt.service.ts (TFRS for NPAEs Ch.13)</t>
  </si>
  <si>
    <t>วันค้าง</t>
  </si>
  <si>
    <t>จำนวนงวด</t>
  </si>
  <si>
    <t>ฐานยอดค้าง (฿)</t>
  </si>
  <si>
    <t>% ของฐาน</t>
  </si>
  <si>
    <t>0</t>
  </si>
  <si>
    <t>B1 1-30</t>
  </si>
  <si>
    <t>1-30</t>
  </si>
  <si>
    <t>B2 31-60</t>
  </si>
  <si>
    <t>31-60</t>
  </si>
  <si>
    <t>B3 61-90</t>
  </si>
  <si>
    <t>61-90</t>
  </si>
  <si>
    <t>B4 91-180</t>
  </si>
  <si>
    <t>91-180</t>
  </si>
  <si>
    <t>B5 180+</t>
  </si>
  <si>
    <t>&gt;180</t>
  </si>
  <si>
    <t>รวม</t>
  </si>
  <si>
    <t>เช็ค: ฐานรวมต้องเท่า 11-2103 รวมพอร์ต 63,664.86 =</t>
  </si>
  <si>
    <t>หมายเหตุ: จำนวนงวด = นับเป็น "งวด" ไม่ใช่สัญญา (สัญญาเดียวกระจายได้หลาย bucket — วิธีแยกงวด)</t>
  </si>
  <si>
    <t>Scenario A-D — สมศักดิ์ FIN-2024-003 บอกเลิก+ยึด ณ งวดต่างกัน (จำลอง)</t>
  </si>
  <si>
    <t>จ่ายงวด 1-3 แล้วหยุด | 2A accrue ถึงงวดที่บอกเลิก | ยึดได้ราคากลาง 5,000 ฿ | ตัวเลข GL-based (ระบบ canonical — ต่างจาก count-based เดิม ±สตางค์)</t>
  </si>
  <si>
    <t>A</t>
  </si>
  <si>
    <t>B</t>
  </si>
  <si>
    <t>C</t>
  </si>
  <si>
    <t>D</t>
  </si>
  <si>
    <t>บอกเลิกที่งวด (k = งวดที่ accrue แล้ว)</t>
  </si>
  <si>
    <t>Scenario A ยึดที่ 45 วัน = ต่ำกว่าเกณฑ์ policy 60 วัน (แสดงไว้เพื่อเปรียบเทียบ)</t>
  </si>
  <si>
    <t>อายุงวดค้างเก่าสุด ณ วันยึด (วัน)</t>
  </si>
  <si>
    <t>อายุแถวนี้ = ณ วันยึด; ค่าเผื่อแถว 16 = snapshot cron สิ้นเดือนก่อนยึด (อายุน้อยกว่า ~30 วัน: 30/60/90/120) — สองแถวไม่ขัดกัน</t>
  </si>
  <si>
    <t>งวดค้าง (k−3)</t>
  </si>
  <si>
    <t>11-2103 ลูกหนี้ค้าง = (k−3)×1,515.83</t>
  </si>
  <si>
    <t>GL หลัง 2A×k + 2B×3 — สมการเดียวกับ jp5-vat-split.spec.ts</t>
  </si>
  <si>
    <t>11-2101 Gross คงเหลือ = 17,000 − k×1,416.66</t>
  </si>
  <si>
    <t>11-2106 ดอกเบี้ยรอตัด = 6,000 − k×500</t>
  </si>
  <si>
    <t>11-2105 = 21-2102 = 1,190 − k×99.17</t>
  </si>
  <si>
    <t>CN VAT ม.82/5 (Dr 21-2101) = (k−3)×99.17</t>
  </si>
  <si>
    <t>เงินสดรับจากยึด</t>
  </si>
  <si>
    <t>Gross Loss = 2103+2101+2105 − เงินสด − CN VAT</t>
  </si>
  <si>
    <t>A = 8,543.34 → plug 8,513.02 (ปักใน jp5-vat-split.spec.ts)</t>
  </si>
  <si>
    <t>ค่าเผื่อสะสม (แยกงวด) ณ สิ้นเดือนก่อนยึด</t>
  </si>
  <si>
    <t>ชุดค่าเผื่อ ณ อายุ {30}/{60,30}/{90,60,30}/{120,90,60,30} วัน — goldens bad-debt.service.spec.ts</t>
  </si>
  <si>
    <t>Consume ค่าเผื่อ (Dr 11-2102) = min(Loss, ค่าเผื่อ)</t>
  </si>
  <si>
    <t>Release ค่าเผื่อคงเหลือ (Dr 11-2102/Cr 51-1103)</t>
  </si>
  <si>
    <t>Net Loss 51-1102 (plug) = Loss − Consume</t>
  </si>
  <si>
    <t>11-2102 หลัง JP5 (ต้องเป็น 0)</t>
  </si>
  <si>
    <t>Net VAT นำส่งสะสมทั้งสัญญา = 1,190 − CN VAT</t>
  </si>
  <si>
    <t>label เดิม "(Period)" → "สะสม" (แก้ตาม audit) | v3 count-based: D = 793.36, GL-based = 793.32 (เศษ 12×99.17=1,190.04)</t>
  </si>
  <si>
    <t>Net Cash Flow = 4,547.49 + 5,000 − 11,000 − NetVAT</t>
  </si>
  <si>
    <t>v3 (แก้เลขผิดแล้ว) D = −2,245.87 count-based → GL-based = −2,245.83</t>
  </si>
  <si>
    <t>เคสจ่ายบางส่วน — pro-rate (กติกา CPA 2026-07-26)</t>
  </si>
  <si>
    <t>กรณี (งวดเดียว ค้าง 1,515.83)</t>
  </si>
  <si>
    <t>เงินรับ</t>
  </si>
  <si>
    <t>ค่าปรับ (FEE-FIRST)</t>
  </si>
  <si>
    <t>ยอดค้างสุทธิ</t>
  </si>
  <si>
    <t>ECL 31-60 (15%)</t>
  </si>
  <si>
    <t>CN VAT pro-rate</t>
  </si>
  <si>
    <t>CN ก่อน VAT</t>
  </si>
  <si>
    <t>จ่าย 1,000 ไม่มีค่าปรับ</t>
  </si>
  <si>
    <t>จ่าย 1,000 มีค่าปรับ 75.79 (หักค่าปรับก่อน)</t>
  </si>
  <si>
    <t>Goldens ระบบ: ค้าง 515.83 → CN VAT 33.75 / ก่อน VAT 482.08 / ECL 77.37 | มีค่าปรับ: ค้าง 591.62 → CN VAT 38.71 (compute-cn-breakdown.spec.ts) | ใบลดหนี้จริงแสดง amountBeforeVat ตามนี้</t>
  </si>
  <si>
    <t>JE ครบชุด — สมศักดิ์ FIN-2024-003 (Scenario A จำลอง — ไม่ใช่รายการจริงใน GL)</t>
  </si>
  <si>
    <t>Source: case-1-overpay.csv (1A/2A/2B/จุด3) + jp5-vat-split.spec.ts Scenario A (JP5 GL-based)</t>
  </si>
  <si>
    <t>1A — วันทำสัญญา (Dr=Cr 18,190.00)</t>
  </si>
  <si>
    <t>บัญชี</t>
  </si>
  <si>
    <t>ชื่อบัญชี</t>
  </si>
  <si>
    <t>Dr (฿)</t>
  </si>
  <si>
    <t>Cr (฿)</t>
  </si>
  <si>
    <t>11-2101</t>
  </si>
  <si>
    <t>ลูกหนี้ผ่อนชำระ Gross (ไม่รวม VAT)</t>
  </si>
  <si>
    <t>11-2105</t>
  </si>
  <si>
    <t>ลูกหนี้ภาษีขายรอเรียกเก็บ</t>
  </si>
  <si>
    <t>21-1101</t>
  </si>
  <si>
    <t>เจ้าหนี้-หน้าร้าน (ยอดจัด)</t>
  </si>
  <si>
    <t>21-1102</t>
  </si>
  <si>
    <t>เจ้าหนี้ค่าคอม-หน้าร้าน</t>
  </si>
  <si>
    <t>11-2106</t>
  </si>
  <si>
    <t>รายได้รอตัดบัญชี-ดอกเบี้ย (หัก)</t>
  </si>
  <si>
    <t>21-2102</t>
  </si>
  <si>
    <t>ภาษีขายรอเรียกเก็บ</t>
  </si>
  <si>
    <t>รวม (ต้อง Dr = Cr)</t>
  </si>
  <si>
    <t>จุดที่ 3 — จ่ายหน้าร้าน 11,000.00</t>
  </si>
  <si>
    <t>เจ้าหนี้-หน้าร้าน</t>
  </si>
  <si>
    <t>11-1201</t>
  </si>
  <si>
    <t>ธนาคาร KBank</t>
  </si>
  <si>
    <t>2A — ถึงกำหนดงวด (ต่องวด, ระบบ post อัตโนมัติ 00:01 — เกิด 4 ครั้ง งวด 1-4)</t>
  </si>
  <si>
    <t>รวมต่อครั้ง 2,115.00 × 4 ครั้ง</t>
  </si>
  <si>
    <t>11-2103</t>
  </si>
  <si>
    <t>ลูกหนี้ค้างชำระ (Accrual)</t>
  </si>
  <si>
    <t>ล้างภาษีขายรอเรียกเก็บ</t>
  </si>
  <si>
    <t>รายได้รอตัดบัญชี-ดอกเบี้ย (ตัดงวดนี้)</t>
  </si>
  <si>
    <t>ลูกหนี้ Gross (ลด)</t>
  </si>
  <si>
    <t>ลูกหนี้ภาษีขายรอฯ (ล้าง)</t>
  </si>
  <si>
    <t>21-2101</t>
  </si>
  <si>
    <t>ภาษีขาย ภ.พ.30</t>
  </si>
  <si>
    <t>41-1101</t>
  </si>
  <si>
    <t>รายได้ดอกเบี้ย</t>
  </si>
  <si>
    <t>2B — รับชำระงวด (เกิด 3 ครั้ง งวด 1-3)</t>
  </si>
  <si>
    <t>× 3 ครั้ง = 4,547.49</t>
  </si>
  <si>
    <t>11-1101</t>
  </si>
  <si>
    <t>เงินสด</t>
  </si>
  <si>
    <t>ลูกหนี้ค้างชำระ (ล้าง)</t>
  </si>
  <si>
    <t>PROV — ตั้งค่าเผื่อ (cron 00:30 — งวด 4 ค้าง 1-30 วัน @2%)</t>
  </si>
  <si>
    <t>51-1103</t>
  </si>
  <si>
    <t>ค่าเผื่อหนี้สงสัยจะสูญ (เพิ่มในปี)</t>
  </si>
  <si>
    <t>11-2102</t>
  </si>
  <si>
    <t>ค่าเผื่อหนี้สงสัยจะสูญ (Contra)</t>
  </si>
  <si>
    <t>JP5 — ยึดสินค้า (GL-based ทุกบรรทัด — Dr=Cr 18,435.83)</t>
  </si>
  <si>
    <t>Release residual = 0.00 (ค่าเผื่อ 30.32 &lt; Loss → consume หมด) | metadata.releasedProvision = "0.00"</t>
  </si>
  <si>
    <t>เงินสด (ราคากลางยึด)</t>
  </si>
  <si>
    <t>CN VAT ม.82/5 (กลับภาษีขายงวดค้าง)</t>
  </si>
  <si>
    <t>ดอกเบี้ยรอตัดคงเหลือ (กลับ)</t>
  </si>
  <si>
    <t>ภาษีขายรอเรียกเก็บคงเหลือ (ล้าง)</t>
  </si>
  <si>
    <t>Consume ค่าเผื่อ = min(Loss 8,543.34, 30.32)</t>
  </si>
  <si>
    <t>51-1102</t>
  </si>
  <si>
    <t>ขาดทุนจากยึดเครื่อง (plug)</t>
  </si>
  <si>
    <t>ลูกหนี้ค้างชำระ (GL หลังรับ 3 งวดจริง)</t>
  </si>
  <si>
    <t>ลูกหนี้ Gross คงเหลือ (17,000−4×1,416.66)</t>
  </si>
  <si>
    <t>ลูกหนี้ภาษีขายรอฯ คงเหลือ</t>
  </si>
  <si>
    <t>ภาษีขายรอเรียกเก็บถึงกำหนด (mirror 21-2102)</t>
  </si>
  <si>
    <t>รายได้ดอกเบี้ย (mirror 11-2106 — รับรู้ตอนยึด)</t>
  </si>
  <si>
    <t>ถ้าค่าเผื่อ &gt; Loss: ระบบเพิ่มบรรทัด Release (Dr 11-2102 ส่วนเหลือ / Cr 51-1103) ใน JE เดียวกัน → 11-2102 ของสัญญาเป็น 0 เสมอหลัง JP5/write-off</t>
  </si>
  <si>
    <t>ตัวอย่างจากระบบ (write-off): ค่าเผื่อ 20,000 vs Loss 18,190 → Consume 18,190 + Release 1,810 และไม่มีบรรทัด 51-1102 เลย (bad-debt-writeoff.template.spec.ts)</t>
  </si>
  <si>
    <t>JP5 Breakdown — 6 สัญญาพร้อมยึด (GL-based + Release Residual)</t>
  </si>
  <si>
    <t>สมมุติยึดได้ราคากลาง 5,000 ฿/เครื่อง | ค่าเผื่อ ณ วันยึด = ค่าเผื่อแยกงวด v4 | Loss = 2103+2101+2105 − เงินสด − CN VAT</t>
  </si>
  <si>
    <t>จ่ายแล้ว j</t>
  </si>
  <si>
    <t>Accrued k</t>
  </si>
  <si>
    <t>ค้าง</t>
  </si>
  <si>
    <t>11-2101 คงเหลือ</t>
  </si>
  <si>
    <t>CN VAT</t>
  </si>
  <si>
    <t>เงินสดยึด</t>
  </si>
  <si>
    <t>Gross Loss</t>
  </si>
  <si>
    <t>ค่าเผื่อ v4</t>
  </si>
  <si>
    <t>Consume</t>
  </si>
  <si>
    <t>Release</t>
  </si>
  <si>
    <t>Net Loss 51-1102</t>
  </si>
  <si>
    <t>11-2102 หลัง</t>
  </si>
  <si>
    <t>คอลัมน์ Release (ใหม่ v4): สัญญา B5 accrue ครบ 12 งวด — ค่าเผื่อ 5,942.05 &gt; Loss 4,916.66 → consume 4,916.66 + release 1,025.39 → 11-2102 = 0 (เดิม v3 ค่าเผื่อส่วนเกินค้างเงียบ)</t>
  </si>
  <si>
    <t>สัญญา k=12: 11-2101 เหลือ 0.08 และ 11-2105 เหลือ −0.04 (เศษปัด 12 งวด) — JP5 GL-based กวาดปิดอัตโนมัติเข้า Loss (นโยบายสตางค์: ระบบ canonical)</t>
  </si>
  <si>
    <t>v3 เดิมนับ 5 สัญญา (CN 3,173.44) — v4 นับ 6 สัญญาตาม summary "พร้อม JP5 = 6" ที่แก้แล้ว (รวม FIN-2024-010)</t>
  </si>
  <si>
    <t>ติดตามบอกเลิกสัญญา + สถานะ JP5</t>
  </si>
  <si>
    <t>เกณฑ์: ค้างเก่าสุด ≥ 90 วัน + TERMINATED = พร้อม JP5 (jp5_require_terminated_status = true — ปพพ. ม.386)</t>
  </si>
  <si>
    <t>ค้าง (งวด)</t>
  </si>
  <si>
    <t>ค้างเก่าสุด (วัน)</t>
  </si>
  <si>
    <t>Action</t>
  </si>
  <si>
    <t>← แก้จาก v3: เดิมใส่ "รอติดตาม" ขัดกับ summary ตัวเอง (ค้าง 135 วัน ≥ 90 เหมือน FIN-2024-067)</t>
  </si>
  <si>
    <t>สรุป: พร้อม JP5 =</t>
  </si>
  <si>
    <t>(v3 นับ 6 แต่แถว FIN-2024-010 เขียนขัด — v4 แถวกับ summary ตรงกันแล้ว)</t>
  </si>
  <si>
    <t>หมายเหตุถึง CPA + ขอคำยืนยัน</t>
  </si>
  <si>
    <t>ข้อสังเกต/นโยบายที่ระบบใช้ (แจ้งเพื่อทราบ)</t>
  </si>
  <si>
    <t>ก</t>
  </si>
  <si>
    <t>แยกงวด: provision = Σ ต่องวด ROUND(ยอดค้างสุทธิ × rate ตามอายุงวดนั้น, 2) — ปัดต่องวดก่อนรวม (ROUND_HALF_UP)</t>
  </si>
  <si>
    <t>ตัวอย่าง: ค้าง 90/60/30 วัน = 757.92+227.37+30.32 = 1,015.61</t>
  </si>
  <si>
    <t>ข</t>
  </si>
  <si>
    <t>TERMINATED ตั้งค่าเผื่อเฉพาะงวดที่ accrue เข้า 11-2103 แล้ว (งวดหลังบอกเลิกไม่ตั้ง — ดอกเบี้ย/VAT ยังไม่รับรู้)</t>
  </si>
  <si>
    <t>ตัวอย่างระบบ: 3 งวด accrued + 2 งวดเลยกำหนดแต่ไม่ accrue → 2,122.16 (ไม่ใช่ 2,183.12)</t>
  </si>
  <si>
    <t>ค</t>
  </si>
  <si>
    <t>ฐานยอดค้างหักค่าปรับก่อน (FEE-FIRST): เงินรับตัดค่าปรับก่อนแล้วค่อยตัดงวด — ฐาน ECL/CN = ยอดค้างสุทธิจริง</t>
  </si>
  <si>
    <t>จ่าย 1,000 (มีค่าปรับ 75.79) → ตัดต้น 924.21 → ค้าง 591.62 → CN VAT 38.71</t>
  </si>
  <si>
    <t>ง</t>
  </si>
  <si>
    <t>นโยบายสตางค์: ระบบ GL-based เป็น canonical — ต่างจากคูณจำนวนงวด ±0.04-0.08 (เศษปัด 99.17×12 = 1,190.04) ถูกกวาดปิดใน JP5</t>
  </si>
  <si>
    <t>เช่น Net VAT Scenario D: count-based 793.36 / GL-based 793.32</t>
  </si>
  <si>
    <t>จ</t>
  </si>
  <si>
    <t>JP5/write-off: consume ค่าเผื่อ = min(Loss, GL 11-2102) แล้ว release ส่วนเหลือ (Dr 11-2102 / Cr 51-1103) ใน JE เดียวกัน → 11-2102 ของสัญญาเป็น 0 เสมอ</t>
  </si>
  <si>
    <t>Sheet 6 คอลัมน์ Release</t>
  </si>
  <si>
    <t>ขอคำยืนยัน 2 ข้อ (ก่อนระบบขึ้น production)</t>
  </si>
  <si>
    <t>1</t>
  </si>
  <si>
    <t>ยืนยันวิธีคิดค่าเผื่อแบบ "แยกงวด" (per-installment aging) ตาม Sheet 2-3 แทนวิธีทั้งสัญญา × rate งวดเก่าสุด</t>
  </si>
  <si>
    <t>ยืนยัน: ☐ ใช่   ☐ ปรับ (ระบุ): ____________</t>
  </si>
  <si>
    <t>2</t>
  </si>
  <si>
    <t>ยืนยันปิดกติกา "ค้างติดต่อกัน N งวด → floor bucket" (consecutive-missed) — workbook นี้ไม่ใช้ floor; ถ้าต้องการเปิดกลับ โปรดระบุตาราง N → bucket</t>
  </si>
  <si>
    <t>อ้างอิงระบบ: branch feat/ecl-per-installment | goldens: bad-debt.service.spec.ts / jp5-vat-split.spec.ts / ecl-terminated-base.spec.ts / compute-cn-breakdown.spec.ts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</si>
</sst>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;\(#,##0.00\);&quot;-&quot;"/>
  </numFmts>
  <fonts count="12" x14ac:knownFonts="1">
    <font>
      <sz val="11"/>
      <color theme="1"/>
      <name val="Calibri"/>
      <family val="2"/>
      <scheme val="minor"/>
    </font>
    <font>
      <b/>
      <sz val="14"/>
      <name val="Tahoma"/>
    </font>
    <font>
      <i/>
      <sz val="9"/>
      <color rgb="FF666666"/>
      <name val="Tahoma"/>
    </font>
    <font>
      <b/>
      <sz val="10"/>
      <color rgb="FFFFFFFF"/>
      <name val="Tahoma"/>
    </font>
    <font>
      <sz val="10"/>
      <name val="Tahoma"/>
    </font>
    <font>
      <sz val="10"/>
      <color rgb="FF0000FF"/>
      <name val="Tahoma"/>
    </font>
    <font>
      <b/>
      <sz val="10"/>
      <name val="Tahoma"/>
    </font>
    <font>
      <sz val="10"/>
      <color rgb="FF008000"/>
      <name val="Tahoma"/>
    </font>
    <font>
      <b/>
      <sz val="12"/>
      <name val="Tahoma"/>
    </font>
    <font>
      <i/>
      <sz val="9"/>
      <color rgb="FFC00000"/>
      <name val="Tahoma"/>
    </font>
    <font>
      <b/>
      <sz val="10"/>
      <color rgb="FFC00000"/>
      <name val="Tahoma"/>
    </font>
    <font>
      <b/>
      <sz val="12"/>
      <color rgb="FFC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2E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8" fillId="0" borderId="0" xfId="0" applyFont="1"/>
    <xf numFmtId="0" fontId="6" fillId="3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165" fontId="7" fillId="0" borderId="1" xfId="0" applyNumberFormat="1" applyFont="1" applyBorder="1"/>
    <xf numFmtId="0" fontId="10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/>
    <xf numFmtId="165" fontId="5" fillId="0" borderId="0" xfId="0" applyNumberFormat="1" applyFont="1"/>
    <xf numFmtId="0" fontId="6" fillId="0" borderId="0" xfId="0" applyFont="1"/>
    <xf numFmtId="0" fontId="7" fillId="0" borderId="1" xfId="0" applyFont="1" applyBorder="1"/>
    <xf numFmtId="3" fontId="4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/>
    <xf numFmtId="164" fontId="5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3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0" borderId="0" xfId="0" applyFont="1"/>
    <xf numFmtId="0" fontId="3" fillId="2" borderId="0" xfId="0" applyFont="1" applyFill="1" applyAlignment="1">
      <alignment horizontal="center" vertical="center" wrapText="1"/>
    </xf>
    <xf numFmtId="165" fontId="5" fillId="0" borderId="1" xfId="0" applyNumberFormat="1" applyFont="1" applyBorder="1"/>
    <xf numFmtId="0" fontId="6" fillId="4" borderId="1" xfId="0" applyFont="1" applyFill="1" applyBorder="1"/>
    <xf numFmtId="165" fontId="6" fillId="4" borderId="1" xfId="0" applyNumberFormat="1" applyFont="1" applyFill="1" applyBorder="1"/>
    <xf numFmtId="0" fontId="6" fillId="5" borderId="1" xfId="0" applyFont="1" applyFill="1" applyBorder="1"/>
    <xf numFmtId="165" fontId="5" fillId="5" borderId="1" xfId="0" applyNumberFormat="1" applyFont="1" applyFill="1" applyBorder="1"/>
    <xf numFmtId="165" fontId="6" fillId="5" borderId="1" xfId="0" applyNumberFormat="1" applyFont="1" applyFill="1" applyBorder="1"/>
    <xf numFmtId="0" fontId="6" fillId="3" borderId="0" xfId="0" applyFont="1" applyFill="1"/>
    <xf numFmtId="3" fontId="7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3" fontId="6" fillId="5" borderId="0" xfId="0" applyNumberFormat="1" applyFont="1" applyFill="1"/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workbookViewId="0"/>
  </sheetViews>
  <sheetFormatPr defaultRowHeight="14.5" x14ac:dyDescent="0.35"/>
  <cols>
    <col min="1" max="1" width="3" customWidth="1"/>
    <col min="2" max="2" width="44" customWidth="1"/>
    <col min="3" max="4" width="18" customWidth="1"/>
    <col min="5" max="5" width="42" customWidth="1"/>
  </cols>
  <sheetData>
    <row r="2" spans="2:5" ht="17.5" x14ac:dyDescent="0.35">
      <c r="B2" s="1" t="s">
        <v>0</v>
      </c>
    </row>
    <row r="3" spans="2:5" x14ac:dyDescent="0.35">
      <c r="B3" s="2" t="s">
        <v>1</v>
      </c>
    </row>
    <row r="5" spans="2:5" ht="15.5" x14ac:dyDescent="0.35">
      <c r="B5" s="3" t="s">
        <v>2</v>
      </c>
    </row>
    <row r="6" spans="2:5" ht="30" customHeight="1" x14ac:dyDescent="0.35">
      <c r="B6" s="4" t="s">
        <v>3</v>
      </c>
      <c r="C6" s="43" t="s">
        <v>4</v>
      </c>
      <c r="D6" s="44"/>
      <c r="E6" s="44"/>
    </row>
    <row r="7" spans="2:5" ht="30" customHeight="1" x14ac:dyDescent="0.35">
      <c r="B7" s="4" t="s">
        <v>5</v>
      </c>
      <c r="C7" s="43" t="s">
        <v>6</v>
      </c>
      <c r="D7" s="44"/>
      <c r="E7" s="44"/>
    </row>
    <row r="8" spans="2:5" ht="30" customHeight="1" x14ac:dyDescent="0.35">
      <c r="B8" s="4" t="s">
        <v>7</v>
      </c>
      <c r="C8" s="43" t="s">
        <v>8</v>
      </c>
      <c r="D8" s="44"/>
      <c r="E8" s="44"/>
    </row>
    <row r="9" spans="2:5" ht="30" customHeight="1" x14ac:dyDescent="0.35">
      <c r="B9" s="4" t="s">
        <v>9</v>
      </c>
      <c r="C9" s="43" t="s">
        <v>10</v>
      </c>
      <c r="D9" s="44"/>
      <c r="E9" s="44"/>
    </row>
    <row r="10" spans="2:5" ht="30" customHeight="1" x14ac:dyDescent="0.35">
      <c r="B10" s="4" t="s">
        <v>11</v>
      </c>
      <c r="C10" s="43" t="s">
        <v>12</v>
      </c>
      <c r="D10" s="44"/>
      <c r="E10" s="44"/>
    </row>
    <row r="11" spans="2:5" ht="30" customHeight="1" x14ac:dyDescent="0.35">
      <c r="B11" s="4" t="s">
        <v>13</v>
      </c>
      <c r="C11" s="43" t="s">
        <v>14</v>
      </c>
      <c r="D11" s="44"/>
      <c r="E11" s="44"/>
    </row>
    <row r="13" spans="2:5" ht="15.5" x14ac:dyDescent="0.35">
      <c r="B13" s="3" t="s">
        <v>15</v>
      </c>
    </row>
    <row r="14" spans="2:5" x14ac:dyDescent="0.35">
      <c r="B14" s="6" t="s">
        <v>16</v>
      </c>
      <c r="C14" s="7">
        <f>'2-พอร์ตสัญญา'!H17</f>
        <v>52356.779999999992</v>
      </c>
    </row>
    <row r="15" spans="2:5" x14ac:dyDescent="0.35">
      <c r="B15" s="6" t="s">
        <v>17</v>
      </c>
      <c r="C15" s="7">
        <f>'2-พอร์ตสัญญา'!I17</f>
        <v>29907.32</v>
      </c>
    </row>
    <row r="16" spans="2:5" x14ac:dyDescent="0.35">
      <c r="B16" s="6" t="s">
        <v>18</v>
      </c>
      <c r="C16" s="7">
        <f>'2-พอร์ตสัญญา'!H17-'2-พอร์ตสัญญา'!I17</f>
        <v>22449.459999999992</v>
      </c>
    </row>
    <row r="18" spans="2:2" x14ac:dyDescent="0.35">
      <c r="B18" s="8" t="s">
        <v>19</v>
      </c>
    </row>
  </sheetData>
  <mergeCells count="6">
    <mergeCell ref="C11:E11"/>
    <mergeCell ref="C8:E8"/>
    <mergeCell ref="C9:E9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68"/>
  <sheetViews>
    <sheetView workbookViewId="0"/>
  </sheetViews>
  <sheetFormatPr defaultRowHeight="14.5" x14ac:dyDescent="0.35"/>
  <cols>
    <col min="1" max="1" width="3" customWidth="1"/>
    <col min="2" max="2" width="15" customWidth="1"/>
    <col min="3" max="3" width="12" customWidth="1"/>
    <col min="4" max="4" width="13" customWidth="1"/>
    <col min="5" max="5" width="11" customWidth="1"/>
    <col min="6" max="6" width="9" customWidth="1"/>
    <col min="7" max="11" width="13" customWidth="1"/>
    <col min="12" max="12" width="30" customWidth="1"/>
  </cols>
  <sheetData>
    <row r="2" spans="2:10" ht="17.5" x14ac:dyDescent="0.35">
      <c r="B2" s="1" t="s">
        <v>20</v>
      </c>
    </row>
    <row r="3" spans="2:10" x14ac:dyDescent="0.35">
      <c r="B3" s="2" t="s">
        <v>21</v>
      </c>
    </row>
    <row r="5" spans="2:10" ht="25" x14ac:dyDescent="0.35"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9" t="s">
        <v>30</v>
      </c>
    </row>
    <row r="6" spans="2:10" x14ac:dyDescent="0.35">
      <c r="B6" s="6" t="s">
        <v>31</v>
      </c>
      <c r="C6" s="6" t="s">
        <v>32</v>
      </c>
      <c r="D6" s="6" t="s">
        <v>33</v>
      </c>
      <c r="E6" s="10">
        <v>1</v>
      </c>
      <c r="F6" s="11">
        <f t="shared" ref="F6:F15" si="0">E6*$G$18</f>
        <v>1515.83</v>
      </c>
      <c r="G6" s="12" t="str">
        <f>E22</f>
        <v>B1 1-30</v>
      </c>
      <c r="H6" s="11">
        <f>ROUND(F6*VLOOKUP(G6,'3-Aging-Bucket'!$B$5:$D$10,3,0),2)</f>
        <v>30.32</v>
      </c>
      <c r="I6" s="11">
        <f>SUM(H22:H22)</f>
        <v>30.32</v>
      </c>
      <c r="J6" s="11">
        <f t="shared" ref="J6:J15" si="1">H6-I6</f>
        <v>0</v>
      </c>
    </row>
    <row r="7" spans="2:10" x14ac:dyDescent="0.35">
      <c r="B7" s="6" t="s">
        <v>34</v>
      </c>
      <c r="C7" s="6" t="s">
        <v>35</v>
      </c>
      <c r="D7" s="6" t="s">
        <v>33</v>
      </c>
      <c r="E7" s="10">
        <v>1</v>
      </c>
      <c r="F7" s="11">
        <f t="shared" si="0"/>
        <v>1515.83</v>
      </c>
      <c r="G7" s="12" t="str">
        <f>E23</f>
        <v>B1 1-30</v>
      </c>
      <c r="H7" s="11">
        <f>ROUND(F7*VLOOKUP(G7,'3-Aging-Bucket'!$B$5:$D$10,3,0),2)</f>
        <v>30.32</v>
      </c>
      <c r="I7" s="11">
        <f>SUM(H23:H23)</f>
        <v>30.32</v>
      </c>
      <c r="J7" s="11">
        <f t="shared" si="1"/>
        <v>0</v>
      </c>
    </row>
    <row r="8" spans="2:10" x14ac:dyDescent="0.35">
      <c r="B8" s="6" t="s">
        <v>36</v>
      </c>
      <c r="C8" s="6" t="s">
        <v>37</v>
      </c>
      <c r="D8" s="6" t="s">
        <v>38</v>
      </c>
      <c r="E8" s="10">
        <v>3</v>
      </c>
      <c r="F8" s="11">
        <f t="shared" si="0"/>
        <v>4547.49</v>
      </c>
      <c r="G8" s="12" t="str">
        <f>E24</f>
        <v>B3 61-90</v>
      </c>
      <c r="H8" s="11">
        <f>ROUND(F8*VLOOKUP(G8,'3-Aging-Bucket'!$B$5:$D$10,3,0),2)</f>
        <v>2273.75</v>
      </c>
      <c r="I8" s="11">
        <f>SUM(H24:H26)</f>
        <v>1015.61</v>
      </c>
      <c r="J8" s="11">
        <f t="shared" si="1"/>
        <v>1258.1399999999999</v>
      </c>
    </row>
    <row r="9" spans="2:10" x14ac:dyDescent="0.35">
      <c r="B9" s="6" t="s">
        <v>39</v>
      </c>
      <c r="C9" s="6" t="s">
        <v>40</v>
      </c>
      <c r="D9" s="6" t="s">
        <v>41</v>
      </c>
      <c r="E9" s="10">
        <v>5</v>
      </c>
      <c r="F9" s="11">
        <f t="shared" si="0"/>
        <v>7579.15</v>
      </c>
      <c r="G9" s="12" t="str">
        <f>E27</f>
        <v>B4 91-180</v>
      </c>
      <c r="H9" s="11">
        <f>ROUND(F9*VLOOKUP(G9,'3-Aging-Bucket'!$B$5:$D$10,3,0),2)</f>
        <v>5684.36</v>
      </c>
      <c r="I9" s="11">
        <f>SUM(H27:H31)</f>
        <v>3289.35</v>
      </c>
      <c r="J9" s="11">
        <f t="shared" si="1"/>
        <v>2395.0099999999998</v>
      </c>
    </row>
    <row r="10" spans="2:10" x14ac:dyDescent="0.35">
      <c r="B10" s="6" t="s">
        <v>42</v>
      </c>
      <c r="C10" s="6" t="s">
        <v>43</v>
      </c>
      <c r="D10" s="6" t="s">
        <v>41</v>
      </c>
      <c r="E10" s="10">
        <v>5</v>
      </c>
      <c r="F10" s="11">
        <f t="shared" si="0"/>
        <v>7579.15</v>
      </c>
      <c r="G10" s="12" t="str">
        <f>E32</f>
        <v>B4 91-180</v>
      </c>
      <c r="H10" s="11">
        <f>ROUND(F10*VLOOKUP(G10,'3-Aging-Bucket'!$B$5:$D$10,3,0),2)</f>
        <v>5684.36</v>
      </c>
      <c r="I10" s="11">
        <f>SUM(H32:H36)</f>
        <v>3289.35</v>
      </c>
      <c r="J10" s="11">
        <f t="shared" si="1"/>
        <v>2395.0099999999998</v>
      </c>
    </row>
    <row r="11" spans="2:10" x14ac:dyDescent="0.35">
      <c r="B11" s="6" t="s">
        <v>44</v>
      </c>
      <c r="C11" s="6" t="s">
        <v>45</v>
      </c>
      <c r="D11" s="6" t="s">
        <v>41</v>
      </c>
      <c r="E11" s="10">
        <v>6</v>
      </c>
      <c r="F11" s="11">
        <f t="shared" si="0"/>
        <v>9094.98</v>
      </c>
      <c r="G11" s="12" t="str">
        <f>E37</f>
        <v>B4 91-180</v>
      </c>
      <c r="H11" s="11">
        <f>ROUND(F11*VLOOKUP(G11,'3-Aging-Bucket'!$B$5:$D$10,3,0),2)</f>
        <v>6821.24</v>
      </c>
      <c r="I11" s="11">
        <f>SUM(H37:H42)</f>
        <v>4426.2199999999993</v>
      </c>
      <c r="J11" s="11">
        <f t="shared" si="1"/>
        <v>2395.0200000000004</v>
      </c>
    </row>
    <row r="12" spans="2:10" x14ac:dyDescent="0.35">
      <c r="B12" s="6" t="s">
        <v>46</v>
      </c>
      <c r="C12" s="6" t="s">
        <v>47</v>
      </c>
      <c r="D12" s="6" t="s">
        <v>41</v>
      </c>
      <c r="E12" s="10">
        <v>7</v>
      </c>
      <c r="F12" s="11">
        <f t="shared" si="0"/>
        <v>10610.81</v>
      </c>
      <c r="G12" s="12" t="str">
        <f>E43</f>
        <v>B5 180+</v>
      </c>
      <c r="H12" s="11">
        <f>ROUND(F12*VLOOKUP(G12,'3-Aging-Bucket'!$B$5:$D$10,3,0),2)</f>
        <v>10610.81</v>
      </c>
      <c r="I12" s="11">
        <f>SUM(H43:H49)</f>
        <v>5942.0499999999993</v>
      </c>
      <c r="J12" s="11">
        <f t="shared" si="1"/>
        <v>4668.76</v>
      </c>
    </row>
    <row r="13" spans="2:10" x14ac:dyDescent="0.35">
      <c r="B13" s="6" t="s">
        <v>48</v>
      </c>
      <c r="C13" s="6" t="s">
        <v>49</v>
      </c>
      <c r="D13" s="6" t="s">
        <v>41</v>
      </c>
      <c r="E13" s="10">
        <v>7</v>
      </c>
      <c r="F13" s="11">
        <f t="shared" si="0"/>
        <v>10610.81</v>
      </c>
      <c r="G13" s="12" t="str">
        <f>E50</f>
        <v>B5 180+</v>
      </c>
      <c r="H13" s="11">
        <f>ROUND(F13*VLOOKUP(G13,'3-Aging-Bucket'!$B$5:$D$10,3,0),2)</f>
        <v>10610.81</v>
      </c>
      <c r="I13" s="11">
        <f>SUM(H50:H56)</f>
        <v>5942.0499999999993</v>
      </c>
      <c r="J13" s="11">
        <f t="shared" si="1"/>
        <v>4668.76</v>
      </c>
    </row>
    <row r="14" spans="2:10" x14ac:dyDescent="0.35">
      <c r="B14" s="6" t="s">
        <v>50</v>
      </c>
      <c r="C14" s="6" t="s">
        <v>51</v>
      </c>
      <c r="D14" s="6" t="s">
        <v>41</v>
      </c>
      <c r="E14" s="10">
        <v>7</v>
      </c>
      <c r="F14" s="11">
        <f t="shared" si="0"/>
        <v>10610.81</v>
      </c>
      <c r="G14" s="12" t="str">
        <f>E57</f>
        <v>B5 180+</v>
      </c>
      <c r="H14" s="11">
        <f>ROUND(F14*VLOOKUP(G14,'3-Aging-Bucket'!$B$5:$D$10,3,0),2)</f>
        <v>10610.81</v>
      </c>
      <c r="I14" s="11">
        <f>SUM(H57:H63)</f>
        <v>5942.0499999999993</v>
      </c>
      <c r="J14" s="11">
        <f t="shared" si="1"/>
        <v>4668.76</v>
      </c>
    </row>
    <row r="15" spans="2:10" x14ac:dyDescent="0.35">
      <c r="B15" s="6" t="s">
        <v>52</v>
      </c>
      <c r="C15" s="6" t="s">
        <v>53</v>
      </c>
      <c r="D15" s="6" t="s">
        <v>54</v>
      </c>
      <c r="E15" s="10">
        <v>0</v>
      </c>
      <c r="F15" s="11">
        <f t="shared" si="0"/>
        <v>0</v>
      </c>
      <c r="G15" s="13" t="s">
        <v>55</v>
      </c>
      <c r="H15" s="11">
        <v>0</v>
      </c>
      <c r="I15" s="11">
        <v>0</v>
      </c>
      <c r="J15" s="11">
        <f t="shared" si="1"/>
        <v>0</v>
      </c>
    </row>
    <row r="17" spans="2:10" x14ac:dyDescent="0.35">
      <c r="B17" s="4" t="s">
        <v>56</v>
      </c>
      <c r="E17" s="14">
        <f>SUM(E6:E15)</f>
        <v>42</v>
      </c>
      <c r="F17" s="15">
        <f>SUM(F6:F15)</f>
        <v>63664.859999999993</v>
      </c>
      <c r="G17" s="4"/>
      <c r="H17" s="15">
        <f>SUM(H6:H15)</f>
        <v>52356.779999999992</v>
      </c>
      <c r="I17" s="15">
        <f>SUM(I6:I15)</f>
        <v>29907.32</v>
      </c>
      <c r="J17" s="15">
        <f>SUM(J6:J15)</f>
        <v>22449.46</v>
      </c>
    </row>
    <row r="18" spans="2:10" x14ac:dyDescent="0.35">
      <c r="B18" s="2" t="s">
        <v>57</v>
      </c>
      <c r="G18" s="16">
        <v>1515.83</v>
      </c>
      <c r="H18" s="2" t="s">
        <v>58</v>
      </c>
    </row>
    <row r="20" spans="2:10" x14ac:dyDescent="0.35">
      <c r="B20" s="17" t="s">
        <v>59</v>
      </c>
    </row>
    <row r="21" spans="2:10" x14ac:dyDescent="0.35">
      <c r="B21" s="9" t="s">
        <v>22</v>
      </c>
      <c r="C21" s="9" t="s">
        <v>60</v>
      </c>
      <c r="D21" s="9" t="s">
        <v>61</v>
      </c>
      <c r="E21" s="9" t="s">
        <v>62</v>
      </c>
      <c r="F21" s="9" t="s">
        <v>63</v>
      </c>
      <c r="G21" s="9" t="s">
        <v>64</v>
      </c>
      <c r="H21" s="9" t="s">
        <v>65</v>
      </c>
    </row>
    <row r="22" spans="2:10" x14ac:dyDescent="0.35">
      <c r="B22" s="18" t="s">
        <v>31</v>
      </c>
      <c r="C22" s="19">
        <v>4</v>
      </c>
      <c r="D22" s="10">
        <v>15</v>
      </c>
      <c r="E22" s="13" t="str">
        <f t="shared" ref="E22:E63" si="2">IF(D22=0,"B0 ปกติ",IF(D22&lt;=30,"B1 1-30",IF(D22&lt;=60,"B2 31-60",IF(D22&lt;=90,"B3 61-90",IF(D22&lt;=180,"B4 91-180","B5 180+")))))</f>
        <v>B1 1-30</v>
      </c>
      <c r="F22" s="20">
        <f>VLOOKUP(E22,'3-Aging-Bucket'!$B$5:$D$10,3,0)</f>
        <v>0.02</v>
      </c>
      <c r="G22" s="7">
        <f t="shared" ref="G22:G63" si="3">$G$18</f>
        <v>1515.83</v>
      </c>
      <c r="H22" s="11">
        <f t="shared" ref="H22:H63" si="4">ROUND(G22*F22,2)</f>
        <v>30.32</v>
      </c>
    </row>
    <row r="23" spans="2:10" x14ac:dyDescent="0.35">
      <c r="B23" s="18" t="s">
        <v>34</v>
      </c>
      <c r="C23" s="19">
        <v>6</v>
      </c>
      <c r="D23" s="10">
        <v>15</v>
      </c>
      <c r="E23" s="13" t="str">
        <f t="shared" si="2"/>
        <v>B1 1-30</v>
      </c>
      <c r="F23" s="20">
        <f>VLOOKUP(E23,'3-Aging-Bucket'!$B$5:$D$10,3,0)</f>
        <v>0.02</v>
      </c>
      <c r="G23" s="7">
        <f t="shared" si="3"/>
        <v>1515.83</v>
      </c>
      <c r="H23" s="11">
        <f t="shared" si="4"/>
        <v>30.32</v>
      </c>
    </row>
    <row r="24" spans="2:10" x14ac:dyDescent="0.35">
      <c r="B24" s="18" t="s">
        <v>36</v>
      </c>
      <c r="C24" s="19">
        <v>6</v>
      </c>
      <c r="D24" s="10">
        <v>75</v>
      </c>
      <c r="E24" s="13" t="str">
        <f t="shared" si="2"/>
        <v>B3 61-90</v>
      </c>
      <c r="F24" s="20">
        <f>VLOOKUP(E24,'3-Aging-Bucket'!$B$5:$D$10,3,0)</f>
        <v>0.5</v>
      </c>
      <c r="G24" s="7">
        <f t="shared" si="3"/>
        <v>1515.83</v>
      </c>
      <c r="H24" s="11">
        <f t="shared" si="4"/>
        <v>757.92</v>
      </c>
    </row>
    <row r="25" spans="2:10" x14ac:dyDescent="0.35">
      <c r="B25" s="18" t="s">
        <v>36</v>
      </c>
      <c r="C25" s="19">
        <v>7</v>
      </c>
      <c r="D25" s="10">
        <v>45</v>
      </c>
      <c r="E25" s="13" t="str">
        <f t="shared" si="2"/>
        <v>B2 31-60</v>
      </c>
      <c r="F25" s="20">
        <f>VLOOKUP(E25,'3-Aging-Bucket'!$B$5:$D$10,3,0)</f>
        <v>0.15</v>
      </c>
      <c r="G25" s="7">
        <f t="shared" si="3"/>
        <v>1515.83</v>
      </c>
      <c r="H25" s="11">
        <f t="shared" si="4"/>
        <v>227.37</v>
      </c>
    </row>
    <row r="26" spans="2:10" x14ac:dyDescent="0.35">
      <c r="B26" s="18" t="s">
        <v>36</v>
      </c>
      <c r="C26" s="19">
        <v>8</v>
      </c>
      <c r="D26" s="10">
        <v>15</v>
      </c>
      <c r="E26" s="13" t="str">
        <f t="shared" si="2"/>
        <v>B1 1-30</v>
      </c>
      <c r="F26" s="20">
        <f>VLOOKUP(E26,'3-Aging-Bucket'!$B$5:$D$10,3,0)</f>
        <v>0.02</v>
      </c>
      <c r="G26" s="7">
        <f t="shared" si="3"/>
        <v>1515.83</v>
      </c>
      <c r="H26" s="11">
        <f t="shared" si="4"/>
        <v>30.32</v>
      </c>
    </row>
    <row r="27" spans="2:10" x14ac:dyDescent="0.35">
      <c r="B27" s="18" t="s">
        <v>39</v>
      </c>
      <c r="C27" s="19">
        <v>6</v>
      </c>
      <c r="D27" s="10">
        <v>135</v>
      </c>
      <c r="E27" s="13" t="str">
        <f t="shared" si="2"/>
        <v>B4 91-180</v>
      </c>
      <c r="F27" s="20">
        <f>VLOOKUP(E27,'3-Aging-Bucket'!$B$5:$D$10,3,0)</f>
        <v>0.75</v>
      </c>
      <c r="G27" s="7">
        <f t="shared" si="3"/>
        <v>1515.83</v>
      </c>
      <c r="H27" s="11">
        <f t="shared" si="4"/>
        <v>1136.8699999999999</v>
      </c>
    </row>
    <row r="28" spans="2:10" x14ac:dyDescent="0.35">
      <c r="B28" s="18" t="s">
        <v>39</v>
      </c>
      <c r="C28" s="19">
        <v>7</v>
      </c>
      <c r="D28" s="10">
        <v>105</v>
      </c>
      <c r="E28" s="13" t="str">
        <f t="shared" si="2"/>
        <v>B4 91-180</v>
      </c>
      <c r="F28" s="20">
        <f>VLOOKUP(E28,'3-Aging-Bucket'!$B$5:$D$10,3,0)</f>
        <v>0.75</v>
      </c>
      <c r="G28" s="7">
        <f t="shared" si="3"/>
        <v>1515.83</v>
      </c>
      <c r="H28" s="11">
        <f t="shared" si="4"/>
        <v>1136.8699999999999</v>
      </c>
    </row>
    <row r="29" spans="2:10" x14ac:dyDescent="0.35">
      <c r="B29" s="18" t="s">
        <v>39</v>
      </c>
      <c r="C29" s="19">
        <v>8</v>
      </c>
      <c r="D29" s="10">
        <v>75</v>
      </c>
      <c r="E29" s="13" t="str">
        <f t="shared" si="2"/>
        <v>B3 61-90</v>
      </c>
      <c r="F29" s="20">
        <f>VLOOKUP(E29,'3-Aging-Bucket'!$B$5:$D$10,3,0)</f>
        <v>0.5</v>
      </c>
      <c r="G29" s="7">
        <f t="shared" si="3"/>
        <v>1515.83</v>
      </c>
      <c r="H29" s="11">
        <f t="shared" si="4"/>
        <v>757.92</v>
      </c>
    </row>
    <row r="30" spans="2:10" x14ac:dyDescent="0.35">
      <c r="B30" s="18" t="s">
        <v>39</v>
      </c>
      <c r="C30" s="19">
        <v>9</v>
      </c>
      <c r="D30" s="10">
        <v>45</v>
      </c>
      <c r="E30" s="13" t="str">
        <f t="shared" si="2"/>
        <v>B2 31-60</v>
      </c>
      <c r="F30" s="20">
        <f>VLOOKUP(E30,'3-Aging-Bucket'!$B$5:$D$10,3,0)</f>
        <v>0.15</v>
      </c>
      <c r="G30" s="7">
        <f t="shared" si="3"/>
        <v>1515.83</v>
      </c>
      <c r="H30" s="11">
        <f t="shared" si="4"/>
        <v>227.37</v>
      </c>
    </row>
    <row r="31" spans="2:10" x14ac:dyDescent="0.35">
      <c r="B31" s="18" t="s">
        <v>39</v>
      </c>
      <c r="C31" s="19">
        <v>10</v>
      </c>
      <c r="D31" s="10">
        <v>15</v>
      </c>
      <c r="E31" s="13" t="str">
        <f t="shared" si="2"/>
        <v>B1 1-30</v>
      </c>
      <c r="F31" s="20">
        <f>VLOOKUP(E31,'3-Aging-Bucket'!$B$5:$D$10,3,0)</f>
        <v>0.02</v>
      </c>
      <c r="G31" s="7">
        <f t="shared" si="3"/>
        <v>1515.83</v>
      </c>
      <c r="H31" s="11">
        <f t="shared" si="4"/>
        <v>30.32</v>
      </c>
    </row>
    <row r="32" spans="2:10" x14ac:dyDescent="0.35">
      <c r="B32" s="18" t="s">
        <v>42</v>
      </c>
      <c r="C32" s="19">
        <v>6</v>
      </c>
      <c r="D32" s="10">
        <v>135</v>
      </c>
      <c r="E32" s="13" t="str">
        <f t="shared" si="2"/>
        <v>B4 91-180</v>
      </c>
      <c r="F32" s="20">
        <f>VLOOKUP(E32,'3-Aging-Bucket'!$B$5:$D$10,3,0)</f>
        <v>0.75</v>
      </c>
      <c r="G32" s="7">
        <f t="shared" si="3"/>
        <v>1515.83</v>
      </c>
      <c r="H32" s="11">
        <f t="shared" si="4"/>
        <v>1136.8699999999999</v>
      </c>
    </row>
    <row r="33" spans="2:8" x14ac:dyDescent="0.35">
      <c r="B33" s="18" t="s">
        <v>42</v>
      </c>
      <c r="C33" s="19">
        <v>7</v>
      </c>
      <c r="D33" s="10">
        <v>105</v>
      </c>
      <c r="E33" s="13" t="str">
        <f t="shared" si="2"/>
        <v>B4 91-180</v>
      </c>
      <c r="F33" s="20">
        <f>VLOOKUP(E33,'3-Aging-Bucket'!$B$5:$D$10,3,0)</f>
        <v>0.75</v>
      </c>
      <c r="G33" s="7">
        <f t="shared" si="3"/>
        <v>1515.83</v>
      </c>
      <c r="H33" s="11">
        <f t="shared" si="4"/>
        <v>1136.8699999999999</v>
      </c>
    </row>
    <row r="34" spans="2:8" x14ac:dyDescent="0.35">
      <c r="B34" s="18" t="s">
        <v>42</v>
      </c>
      <c r="C34" s="19">
        <v>8</v>
      </c>
      <c r="D34" s="10">
        <v>75</v>
      </c>
      <c r="E34" s="13" t="str">
        <f t="shared" si="2"/>
        <v>B3 61-90</v>
      </c>
      <c r="F34" s="20">
        <f>VLOOKUP(E34,'3-Aging-Bucket'!$B$5:$D$10,3,0)</f>
        <v>0.5</v>
      </c>
      <c r="G34" s="7">
        <f t="shared" si="3"/>
        <v>1515.83</v>
      </c>
      <c r="H34" s="11">
        <f t="shared" si="4"/>
        <v>757.92</v>
      </c>
    </row>
    <row r="35" spans="2:8" x14ac:dyDescent="0.35">
      <c r="B35" s="18" t="s">
        <v>42</v>
      </c>
      <c r="C35" s="19">
        <v>9</v>
      </c>
      <c r="D35" s="10">
        <v>45</v>
      </c>
      <c r="E35" s="13" t="str">
        <f t="shared" si="2"/>
        <v>B2 31-60</v>
      </c>
      <c r="F35" s="20">
        <f>VLOOKUP(E35,'3-Aging-Bucket'!$B$5:$D$10,3,0)</f>
        <v>0.15</v>
      </c>
      <c r="G35" s="7">
        <f t="shared" si="3"/>
        <v>1515.83</v>
      </c>
      <c r="H35" s="11">
        <f t="shared" si="4"/>
        <v>227.37</v>
      </c>
    </row>
    <row r="36" spans="2:8" x14ac:dyDescent="0.35">
      <c r="B36" s="18" t="s">
        <v>42</v>
      </c>
      <c r="C36" s="19">
        <v>10</v>
      </c>
      <c r="D36" s="10">
        <v>15</v>
      </c>
      <c r="E36" s="13" t="str">
        <f t="shared" si="2"/>
        <v>B1 1-30</v>
      </c>
      <c r="F36" s="20">
        <f>VLOOKUP(E36,'3-Aging-Bucket'!$B$5:$D$10,3,0)</f>
        <v>0.02</v>
      </c>
      <c r="G36" s="7">
        <f t="shared" si="3"/>
        <v>1515.83</v>
      </c>
      <c r="H36" s="11">
        <f t="shared" si="4"/>
        <v>30.32</v>
      </c>
    </row>
    <row r="37" spans="2:8" x14ac:dyDescent="0.35">
      <c r="B37" s="18" t="s">
        <v>44</v>
      </c>
      <c r="C37" s="19">
        <v>6</v>
      </c>
      <c r="D37" s="10">
        <v>165</v>
      </c>
      <c r="E37" s="13" t="str">
        <f t="shared" si="2"/>
        <v>B4 91-180</v>
      </c>
      <c r="F37" s="20">
        <f>VLOOKUP(E37,'3-Aging-Bucket'!$B$5:$D$10,3,0)</f>
        <v>0.75</v>
      </c>
      <c r="G37" s="7">
        <f t="shared" si="3"/>
        <v>1515.83</v>
      </c>
      <c r="H37" s="11">
        <f t="shared" si="4"/>
        <v>1136.8699999999999</v>
      </c>
    </row>
    <row r="38" spans="2:8" x14ac:dyDescent="0.35">
      <c r="B38" s="18" t="s">
        <v>44</v>
      </c>
      <c r="C38" s="19">
        <v>7</v>
      </c>
      <c r="D38" s="10">
        <v>135</v>
      </c>
      <c r="E38" s="13" t="str">
        <f t="shared" si="2"/>
        <v>B4 91-180</v>
      </c>
      <c r="F38" s="20">
        <f>VLOOKUP(E38,'3-Aging-Bucket'!$B$5:$D$10,3,0)</f>
        <v>0.75</v>
      </c>
      <c r="G38" s="7">
        <f t="shared" si="3"/>
        <v>1515.83</v>
      </c>
      <c r="H38" s="11">
        <f t="shared" si="4"/>
        <v>1136.8699999999999</v>
      </c>
    </row>
    <row r="39" spans="2:8" x14ac:dyDescent="0.35">
      <c r="B39" s="18" t="s">
        <v>44</v>
      </c>
      <c r="C39" s="19">
        <v>8</v>
      </c>
      <c r="D39" s="10">
        <v>105</v>
      </c>
      <c r="E39" s="13" t="str">
        <f t="shared" si="2"/>
        <v>B4 91-180</v>
      </c>
      <c r="F39" s="20">
        <f>VLOOKUP(E39,'3-Aging-Bucket'!$B$5:$D$10,3,0)</f>
        <v>0.75</v>
      </c>
      <c r="G39" s="7">
        <f t="shared" si="3"/>
        <v>1515.83</v>
      </c>
      <c r="H39" s="11">
        <f t="shared" si="4"/>
        <v>1136.8699999999999</v>
      </c>
    </row>
    <row r="40" spans="2:8" x14ac:dyDescent="0.35">
      <c r="B40" s="18" t="s">
        <v>44</v>
      </c>
      <c r="C40" s="19">
        <v>9</v>
      </c>
      <c r="D40" s="10">
        <v>75</v>
      </c>
      <c r="E40" s="13" t="str">
        <f t="shared" si="2"/>
        <v>B3 61-90</v>
      </c>
      <c r="F40" s="20">
        <f>VLOOKUP(E40,'3-Aging-Bucket'!$B$5:$D$10,3,0)</f>
        <v>0.5</v>
      </c>
      <c r="G40" s="7">
        <f t="shared" si="3"/>
        <v>1515.83</v>
      </c>
      <c r="H40" s="11">
        <f t="shared" si="4"/>
        <v>757.92</v>
      </c>
    </row>
    <row r="41" spans="2:8" x14ac:dyDescent="0.35">
      <c r="B41" s="18" t="s">
        <v>44</v>
      </c>
      <c r="C41" s="19">
        <v>10</v>
      </c>
      <c r="D41" s="10">
        <v>45</v>
      </c>
      <c r="E41" s="13" t="str">
        <f t="shared" si="2"/>
        <v>B2 31-60</v>
      </c>
      <c r="F41" s="20">
        <f>VLOOKUP(E41,'3-Aging-Bucket'!$B$5:$D$10,3,0)</f>
        <v>0.15</v>
      </c>
      <c r="G41" s="7">
        <f t="shared" si="3"/>
        <v>1515.83</v>
      </c>
      <c r="H41" s="11">
        <f t="shared" si="4"/>
        <v>227.37</v>
      </c>
    </row>
    <row r="42" spans="2:8" x14ac:dyDescent="0.35">
      <c r="B42" s="18" t="s">
        <v>44</v>
      </c>
      <c r="C42" s="19">
        <v>11</v>
      </c>
      <c r="D42" s="10">
        <v>15</v>
      </c>
      <c r="E42" s="13" t="str">
        <f t="shared" si="2"/>
        <v>B1 1-30</v>
      </c>
      <c r="F42" s="20">
        <f>VLOOKUP(E42,'3-Aging-Bucket'!$B$5:$D$10,3,0)</f>
        <v>0.02</v>
      </c>
      <c r="G42" s="7">
        <f t="shared" si="3"/>
        <v>1515.83</v>
      </c>
      <c r="H42" s="11">
        <f t="shared" si="4"/>
        <v>30.32</v>
      </c>
    </row>
    <row r="43" spans="2:8" x14ac:dyDescent="0.35">
      <c r="B43" s="18" t="s">
        <v>46</v>
      </c>
      <c r="C43" s="19">
        <v>6</v>
      </c>
      <c r="D43" s="10">
        <v>195</v>
      </c>
      <c r="E43" s="13" t="str">
        <f t="shared" si="2"/>
        <v>B5 180+</v>
      </c>
      <c r="F43" s="20">
        <f>VLOOKUP(E43,'3-Aging-Bucket'!$B$5:$D$10,3,0)</f>
        <v>1</v>
      </c>
      <c r="G43" s="7">
        <f t="shared" si="3"/>
        <v>1515.83</v>
      </c>
      <c r="H43" s="11">
        <f t="shared" si="4"/>
        <v>1515.83</v>
      </c>
    </row>
    <row r="44" spans="2:8" x14ac:dyDescent="0.35">
      <c r="B44" s="18" t="s">
        <v>46</v>
      </c>
      <c r="C44" s="19">
        <v>7</v>
      </c>
      <c r="D44" s="10">
        <v>165</v>
      </c>
      <c r="E44" s="13" t="str">
        <f t="shared" si="2"/>
        <v>B4 91-180</v>
      </c>
      <c r="F44" s="20">
        <f>VLOOKUP(E44,'3-Aging-Bucket'!$B$5:$D$10,3,0)</f>
        <v>0.75</v>
      </c>
      <c r="G44" s="7">
        <f t="shared" si="3"/>
        <v>1515.83</v>
      </c>
      <c r="H44" s="11">
        <f t="shared" si="4"/>
        <v>1136.8699999999999</v>
      </c>
    </row>
    <row r="45" spans="2:8" x14ac:dyDescent="0.35">
      <c r="B45" s="18" t="s">
        <v>46</v>
      </c>
      <c r="C45" s="19">
        <v>8</v>
      </c>
      <c r="D45" s="10">
        <v>135</v>
      </c>
      <c r="E45" s="13" t="str">
        <f t="shared" si="2"/>
        <v>B4 91-180</v>
      </c>
      <c r="F45" s="20">
        <f>VLOOKUP(E45,'3-Aging-Bucket'!$B$5:$D$10,3,0)</f>
        <v>0.75</v>
      </c>
      <c r="G45" s="7">
        <f t="shared" si="3"/>
        <v>1515.83</v>
      </c>
      <c r="H45" s="11">
        <f t="shared" si="4"/>
        <v>1136.8699999999999</v>
      </c>
    </row>
    <row r="46" spans="2:8" x14ac:dyDescent="0.35">
      <c r="B46" s="18" t="s">
        <v>46</v>
      </c>
      <c r="C46" s="19">
        <v>9</v>
      </c>
      <c r="D46" s="10">
        <v>105</v>
      </c>
      <c r="E46" s="13" t="str">
        <f t="shared" si="2"/>
        <v>B4 91-180</v>
      </c>
      <c r="F46" s="20">
        <f>VLOOKUP(E46,'3-Aging-Bucket'!$B$5:$D$10,3,0)</f>
        <v>0.75</v>
      </c>
      <c r="G46" s="7">
        <f t="shared" si="3"/>
        <v>1515.83</v>
      </c>
      <c r="H46" s="11">
        <f t="shared" si="4"/>
        <v>1136.8699999999999</v>
      </c>
    </row>
    <row r="47" spans="2:8" x14ac:dyDescent="0.35">
      <c r="B47" s="18" t="s">
        <v>46</v>
      </c>
      <c r="C47" s="19">
        <v>10</v>
      </c>
      <c r="D47" s="10">
        <v>75</v>
      </c>
      <c r="E47" s="13" t="str">
        <f t="shared" si="2"/>
        <v>B3 61-90</v>
      </c>
      <c r="F47" s="20">
        <f>VLOOKUP(E47,'3-Aging-Bucket'!$B$5:$D$10,3,0)</f>
        <v>0.5</v>
      </c>
      <c r="G47" s="7">
        <f t="shared" si="3"/>
        <v>1515.83</v>
      </c>
      <c r="H47" s="11">
        <f t="shared" si="4"/>
        <v>757.92</v>
      </c>
    </row>
    <row r="48" spans="2:8" x14ac:dyDescent="0.35">
      <c r="B48" s="18" t="s">
        <v>46</v>
      </c>
      <c r="C48" s="19">
        <v>11</v>
      </c>
      <c r="D48" s="10">
        <v>45</v>
      </c>
      <c r="E48" s="13" t="str">
        <f t="shared" si="2"/>
        <v>B2 31-60</v>
      </c>
      <c r="F48" s="20">
        <f>VLOOKUP(E48,'3-Aging-Bucket'!$B$5:$D$10,3,0)</f>
        <v>0.15</v>
      </c>
      <c r="G48" s="7">
        <f t="shared" si="3"/>
        <v>1515.83</v>
      </c>
      <c r="H48" s="11">
        <f t="shared" si="4"/>
        <v>227.37</v>
      </c>
    </row>
    <row r="49" spans="2:8" x14ac:dyDescent="0.35">
      <c r="B49" s="18" t="s">
        <v>46</v>
      </c>
      <c r="C49" s="19">
        <v>12</v>
      </c>
      <c r="D49" s="10">
        <v>15</v>
      </c>
      <c r="E49" s="13" t="str">
        <f t="shared" si="2"/>
        <v>B1 1-30</v>
      </c>
      <c r="F49" s="20">
        <f>VLOOKUP(E49,'3-Aging-Bucket'!$B$5:$D$10,3,0)</f>
        <v>0.02</v>
      </c>
      <c r="G49" s="7">
        <f t="shared" si="3"/>
        <v>1515.83</v>
      </c>
      <c r="H49" s="11">
        <f t="shared" si="4"/>
        <v>30.32</v>
      </c>
    </row>
    <row r="50" spans="2:8" x14ac:dyDescent="0.35">
      <c r="B50" s="18" t="s">
        <v>48</v>
      </c>
      <c r="C50" s="19">
        <v>6</v>
      </c>
      <c r="D50" s="10">
        <v>195</v>
      </c>
      <c r="E50" s="13" t="str">
        <f t="shared" si="2"/>
        <v>B5 180+</v>
      </c>
      <c r="F50" s="20">
        <f>VLOOKUP(E50,'3-Aging-Bucket'!$B$5:$D$10,3,0)</f>
        <v>1</v>
      </c>
      <c r="G50" s="7">
        <f t="shared" si="3"/>
        <v>1515.83</v>
      </c>
      <c r="H50" s="11">
        <f t="shared" si="4"/>
        <v>1515.83</v>
      </c>
    </row>
    <row r="51" spans="2:8" x14ac:dyDescent="0.35">
      <c r="B51" s="18" t="s">
        <v>48</v>
      </c>
      <c r="C51" s="19">
        <v>7</v>
      </c>
      <c r="D51" s="10">
        <v>165</v>
      </c>
      <c r="E51" s="13" t="str">
        <f t="shared" si="2"/>
        <v>B4 91-180</v>
      </c>
      <c r="F51" s="20">
        <f>VLOOKUP(E51,'3-Aging-Bucket'!$B$5:$D$10,3,0)</f>
        <v>0.75</v>
      </c>
      <c r="G51" s="7">
        <f t="shared" si="3"/>
        <v>1515.83</v>
      </c>
      <c r="H51" s="11">
        <f t="shared" si="4"/>
        <v>1136.8699999999999</v>
      </c>
    </row>
    <row r="52" spans="2:8" x14ac:dyDescent="0.35">
      <c r="B52" s="18" t="s">
        <v>48</v>
      </c>
      <c r="C52" s="19">
        <v>8</v>
      </c>
      <c r="D52" s="10">
        <v>135</v>
      </c>
      <c r="E52" s="13" t="str">
        <f t="shared" si="2"/>
        <v>B4 91-180</v>
      </c>
      <c r="F52" s="20">
        <f>VLOOKUP(E52,'3-Aging-Bucket'!$B$5:$D$10,3,0)</f>
        <v>0.75</v>
      </c>
      <c r="G52" s="7">
        <f t="shared" si="3"/>
        <v>1515.83</v>
      </c>
      <c r="H52" s="11">
        <f t="shared" si="4"/>
        <v>1136.8699999999999</v>
      </c>
    </row>
    <row r="53" spans="2:8" x14ac:dyDescent="0.35">
      <c r="B53" s="18" t="s">
        <v>48</v>
      </c>
      <c r="C53" s="19">
        <v>9</v>
      </c>
      <c r="D53" s="10">
        <v>105</v>
      </c>
      <c r="E53" s="13" t="str">
        <f t="shared" si="2"/>
        <v>B4 91-180</v>
      </c>
      <c r="F53" s="20">
        <f>VLOOKUP(E53,'3-Aging-Bucket'!$B$5:$D$10,3,0)</f>
        <v>0.75</v>
      </c>
      <c r="G53" s="7">
        <f t="shared" si="3"/>
        <v>1515.83</v>
      </c>
      <c r="H53" s="11">
        <f t="shared" si="4"/>
        <v>1136.8699999999999</v>
      </c>
    </row>
    <row r="54" spans="2:8" x14ac:dyDescent="0.35">
      <c r="B54" s="18" t="s">
        <v>48</v>
      </c>
      <c r="C54" s="19">
        <v>10</v>
      </c>
      <c r="D54" s="10">
        <v>75</v>
      </c>
      <c r="E54" s="13" t="str">
        <f t="shared" si="2"/>
        <v>B3 61-90</v>
      </c>
      <c r="F54" s="20">
        <f>VLOOKUP(E54,'3-Aging-Bucket'!$B$5:$D$10,3,0)</f>
        <v>0.5</v>
      </c>
      <c r="G54" s="7">
        <f t="shared" si="3"/>
        <v>1515.83</v>
      </c>
      <c r="H54" s="11">
        <f t="shared" si="4"/>
        <v>757.92</v>
      </c>
    </row>
    <row r="55" spans="2:8" x14ac:dyDescent="0.35">
      <c r="B55" s="18" t="s">
        <v>48</v>
      </c>
      <c r="C55" s="19">
        <v>11</v>
      </c>
      <c r="D55" s="10">
        <v>45</v>
      </c>
      <c r="E55" s="13" t="str">
        <f t="shared" si="2"/>
        <v>B2 31-60</v>
      </c>
      <c r="F55" s="20">
        <f>VLOOKUP(E55,'3-Aging-Bucket'!$B$5:$D$10,3,0)</f>
        <v>0.15</v>
      </c>
      <c r="G55" s="7">
        <f t="shared" si="3"/>
        <v>1515.83</v>
      </c>
      <c r="H55" s="11">
        <f t="shared" si="4"/>
        <v>227.37</v>
      </c>
    </row>
    <row r="56" spans="2:8" x14ac:dyDescent="0.35">
      <c r="B56" s="18" t="s">
        <v>48</v>
      </c>
      <c r="C56" s="19">
        <v>12</v>
      </c>
      <c r="D56" s="10">
        <v>15</v>
      </c>
      <c r="E56" s="13" t="str">
        <f t="shared" si="2"/>
        <v>B1 1-30</v>
      </c>
      <c r="F56" s="20">
        <f>VLOOKUP(E56,'3-Aging-Bucket'!$B$5:$D$10,3,0)</f>
        <v>0.02</v>
      </c>
      <c r="G56" s="7">
        <f t="shared" si="3"/>
        <v>1515.83</v>
      </c>
      <c r="H56" s="11">
        <f t="shared" si="4"/>
        <v>30.32</v>
      </c>
    </row>
    <row r="57" spans="2:8" x14ac:dyDescent="0.35">
      <c r="B57" s="18" t="s">
        <v>50</v>
      </c>
      <c r="C57" s="19">
        <v>6</v>
      </c>
      <c r="D57" s="10">
        <v>195</v>
      </c>
      <c r="E57" s="13" t="str">
        <f t="shared" si="2"/>
        <v>B5 180+</v>
      </c>
      <c r="F57" s="20">
        <f>VLOOKUP(E57,'3-Aging-Bucket'!$B$5:$D$10,3,0)</f>
        <v>1</v>
      </c>
      <c r="G57" s="7">
        <f t="shared" si="3"/>
        <v>1515.83</v>
      </c>
      <c r="H57" s="11">
        <f t="shared" si="4"/>
        <v>1515.83</v>
      </c>
    </row>
    <row r="58" spans="2:8" x14ac:dyDescent="0.35">
      <c r="B58" s="18" t="s">
        <v>50</v>
      </c>
      <c r="C58" s="19">
        <v>7</v>
      </c>
      <c r="D58" s="10">
        <v>165</v>
      </c>
      <c r="E58" s="13" t="str">
        <f t="shared" si="2"/>
        <v>B4 91-180</v>
      </c>
      <c r="F58" s="20">
        <f>VLOOKUP(E58,'3-Aging-Bucket'!$B$5:$D$10,3,0)</f>
        <v>0.75</v>
      </c>
      <c r="G58" s="7">
        <f t="shared" si="3"/>
        <v>1515.83</v>
      </c>
      <c r="H58" s="11">
        <f t="shared" si="4"/>
        <v>1136.8699999999999</v>
      </c>
    </row>
    <row r="59" spans="2:8" x14ac:dyDescent="0.35">
      <c r="B59" s="18" t="s">
        <v>50</v>
      </c>
      <c r="C59" s="19">
        <v>8</v>
      </c>
      <c r="D59" s="10">
        <v>135</v>
      </c>
      <c r="E59" s="13" t="str">
        <f t="shared" si="2"/>
        <v>B4 91-180</v>
      </c>
      <c r="F59" s="20">
        <f>VLOOKUP(E59,'3-Aging-Bucket'!$B$5:$D$10,3,0)</f>
        <v>0.75</v>
      </c>
      <c r="G59" s="7">
        <f t="shared" si="3"/>
        <v>1515.83</v>
      </c>
      <c r="H59" s="11">
        <f t="shared" si="4"/>
        <v>1136.8699999999999</v>
      </c>
    </row>
    <row r="60" spans="2:8" x14ac:dyDescent="0.35">
      <c r="B60" s="18" t="s">
        <v>50</v>
      </c>
      <c r="C60" s="19">
        <v>9</v>
      </c>
      <c r="D60" s="10">
        <v>105</v>
      </c>
      <c r="E60" s="13" t="str">
        <f t="shared" si="2"/>
        <v>B4 91-180</v>
      </c>
      <c r="F60" s="20">
        <f>VLOOKUP(E60,'3-Aging-Bucket'!$B$5:$D$10,3,0)</f>
        <v>0.75</v>
      </c>
      <c r="G60" s="7">
        <f t="shared" si="3"/>
        <v>1515.83</v>
      </c>
      <c r="H60" s="11">
        <f t="shared" si="4"/>
        <v>1136.8699999999999</v>
      </c>
    </row>
    <row r="61" spans="2:8" x14ac:dyDescent="0.35">
      <c r="B61" s="18" t="s">
        <v>50</v>
      </c>
      <c r="C61" s="19">
        <v>10</v>
      </c>
      <c r="D61" s="10">
        <v>75</v>
      </c>
      <c r="E61" s="13" t="str">
        <f t="shared" si="2"/>
        <v>B3 61-90</v>
      </c>
      <c r="F61" s="20">
        <f>VLOOKUP(E61,'3-Aging-Bucket'!$B$5:$D$10,3,0)</f>
        <v>0.5</v>
      </c>
      <c r="G61" s="7">
        <f t="shared" si="3"/>
        <v>1515.83</v>
      </c>
      <c r="H61" s="11">
        <f t="shared" si="4"/>
        <v>757.92</v>
      </c>
    </row>
    <row r="62" spans="2:8" x14ac:dyDescent="0.35">
      <c r="B62" s="18" t="s">
        <v>50</v>
      </c>
      <c r="C62" s="19">
        <v>11</v>
      </c>
      <c r="D62" s="10">
        <v>45</v>
      </c>
      <c r="E62" s="13" t="str">
        <f t="shared" si="2"/>
        <v>B2 31-60</v>
      </c>
      <c r="F62" s="20">
        <f>VLOOKUP(E62,'3-Aging-Bucket'!$B$5:$D$10,3,0)</f>
        <v>0.15</v>
      </c>
      <c r="G62" s="7">
        <f t="shared" si="3"/>
        <v>1515.83</v>
      </c>
      <c r="H62" s="11">
        <f t="shared" si="4"/>
        <v>227.37</v>
      </c>
    </row>
    <row r="63" spans="2:8" x14ac:dyDescent="0.35">
      <c r="B63" s="18" t="s">
        <v>50</v>
      </c>
      <c r="C63" s="19">
        <v>12</v>
      </c>
      <c r="D63" s="10">
        <v>15</v>
      </c>
      <c r="E63" s="13" t="str">
        <f t="shared" si="2"/>
        <v>B1 1-30</v>
      </c>
      <c r="F63" s="20">
        <f>VLOOKUP(E63,'3-Aging-Bucket'!$B$5:$D$10,3,0)</f>
        <v>0.02</v>
      </c>
      <c r="G63" s="7">
        <f t="shared" si="3"/>
        <v>1515.83</v>
      </c>
      <c r="H63" s="11">
        <f t="shared" si="4"/>
        <v>30.32</v>
      </c>
    </row>
    <row r="65" spans="2:8" x14ac:dyDescent="0.35">
      <c r="B65" s="4" t="s">
        <v>66</v>
      </c>
      <c r="G65" s="15">
        <f>SUM(G22:G63)</f>
        <v>63664.860000000052</v>
      </c>
      <c r="H65" s="15">
        <f>SUM(H22:H63)</f>
        <v>29907.319999999985</v>
      </c>
    </row>
    <row r="67" spans="2:8" x14ac:dyDescent="0.35">
      <c r="B67" s="2" t="s">
        <v>67</v>
      </c>
    </row>
    <row r="68" spans="2:8" x14ac:dyDescent="0.35">
      <c r="B68" s="2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4"/>
  <sheetViews>
    <sheetView workbookViewId="0"/>
  </sheetViews>
  <sheetFormatPr defaultRowHeight="14.5" x14ac:dyDescent="0.35"/>
  <cols>
    <col min="1" max="1" width="3" customWidth="1"/>
    <col min="2" max="2" width="14" customWidth="1"/>
    <col min="3" max="3" width="10" customWidth="1"/>
    <col min="4" max="4" width="9" customWidth="1"/>
    <col min="5" max="5" width="12" customWidth="1"/>
    <col min="6" max="7" width="16" customWidth="1"/>
    <col min="8" max="8" width="10" customWidth="1"/>
    <col min="9" max="10" width="16" customWidth="1"/>
  </cols>
  <sheetData>
    <row r="2" spans="2:10" ht="17.5" x14ac:dyDescent="0.35">
      <c r="B2" s="1" t="s">
        <v>69</v>
      </c>
      <c r="F2" s="17" t="s">
        <v>70</v>
      </c>
    </row>
    <row r="3" spans="2:10" x14ac:dyDescent="0.35">
      <c r="B3" s="2" t="s">
        <v>71</v>
      </c>
    </row>
    <row r="4" spans="2:10" ht="25" x14ac:dyDescent="0.35">
      <c r="B4" s="9" t="s">
        <v>62</v>
      </c>
      <c r="C4" s="9" t="s">
        <v>72</v>
      </c>
      <c r="D4" s="9" t="s">
        <v>63</v>
      </c>
      <c r="F4" s="9" t="s">
        <v>62</v>
      </c>
      <c r="G4" s="9" t="s">
        <v>73</v>
      </c>
      <c r="H4" s="9" t="s">
        <v>74</v>
      </c>
      <c r="I4" s="9" t="s">
        <v>65</v>
      </c>
      <c r="J4" s="9" t="s">
        <v>75</v>
      </c>
    </row>
    <row r="5" spans="2:10" x14ac:dyDescent="0.35">
      <c r="B5" s="6" t="s">
        <v>55</v>
      </c>
      <c r="C5" s="13" t="s">
        <v>76</v>
      </c>
      <c r="D5" s="21">
        <v>0</v>
      </c>
      <c r="F5" s="6" t="s">
        <v>77</v>
      </c>
      <c r="G5" s="22">
        <f>COUNTIF('2-พอร์ตสัญญา'!$E$22:$E$63,F5)</f>
        <v>9</v>
      </c>
      <c r="H5" s="11">
        <f>SUMIF('2-พอร์ตสัญญา'!$E$22:$E$63,F5,'2-พอร์ตสัญญา'!$G$22:$G$63)</f>
        <v>13642.47</v>
      </c>
      <c r="I5" s="11">
        <f>SUMIF('2-พอร์ตสัญญา'!$E$22:$E$63,F5,'2-พอร์ตสัญญา'!$H$22:$H$63)</f>
        <v>272.88</v>
      </c>
      <c r="J5" s="23">
        <f>IF($H$10=0,0,H5/$H$10)</f>
        <v>0.21428571428571427</v>
      </c>
    </row>
    <row r="6" spans="2:10" x14ac:dyDescent="0.35">
      <c r="B6" s="6" t="s">
        <v>77</v>
      </c>
      <c r="C6" s="13" t="s">
        <v>78</v>
      </c>
      <c r="D6" s="21">
        <v>0.02</v>
      </c>
      <c r="F6" s="6" t="s">
        <v>79</v>
      </c>
      <c r="G6" s="22">
        <f>COUNTIF('2-พอร์ตสัญญา'!$E$22:$E$63,F6)</f>
        <v>7</v>
      </c>
      <c r="H6" s="11">
        <f>SUMIF('2-พอร์ตสัญญา'!$E$22:$E$63,F6,'2-พอร์ตสัญญา'!$G$22:$G$63)</f>
        <v>10610.81</v>
      </c>
      <c r="I6" s="11">
        <f>SUMIF('2-พอร์ตสัญญา'!$E$22:$E$63,F6,'2-พอร์ตสัญญา'!$H$22:$H$63)</f>
        <v>1591.5899999999997</v>
      </c>
      <c r="J6" s="23">
        <f>IF($H$10=0,0,H6/$H$10)</f>
        <v>0.16666666666666666</v>
      </c>
    </row>
    <row r="7" spans="2:10" x14ac:dyDescent="0.35">
      <c r="B7" s="6" t="s">
        <v>79</v>
      </c>
      <c r="C7" s="13" t="s">
        <v>80</v>
      </c>
      <c r="D7" s="21">
        <v>0.15</v>
      </c>
      <c r="F7" s="6" t="s">
        <v>81</v>
      </c>
      <c r="G7" s="22">
        <f>COUNTIF('2-พอร์ตสัญญา'!$E$22:$E$63,F7)</f>
        <v>7</v>
      </c>
      <c r="H7" s="11">
        <f>SUMIF('2-พอร์ตสัญญา'!$E$22:$E$63,F7,'2-พอร์ตสัญญา'!$G$22:$G$63)</f>
        <v>10610.81</v>
      </c>
      <c r="I7" s="11">
        <f>SUMIF('2-พอร์ตสัญญา'!$E$22:$E$63,F7,'2-พอร์ตสัญญา'!$H$22:$H$63)</f>
        <v>5305.44</v>
      </c>
      <c r="J7" s="23">
        <f>IF($H$10=0,0,H7/$H$10)</f>
        <v>0.16666666666666666</v>
      </c>
    </row>
    <row r="8" spans="2:10" x14ac:dyDescent="0.35">
      <c r="B8" s="6" t="s">
        <v>81</v>
      </c>
      <c r="C8" s="13" t="s">
        <v>82</v>
      </c>
      <c r="D8" s="21">
        <v>0.5</v>
      </c>
      <c r="F8" s="6" t="s">
        <v>83</v>
      </c>
      <c r="G8" s="22">
        <f>COUNTIF('2-พอร์ตสัญญา'!$E$22:$E$63,F8)</f>
        <v>16</v>
      </c>
      <c r="H8" s="11">
        <f>SUMIF('2-พอร์ตสัญญา'!$E$22:$E$63,F8,'2-พอร์ตสัญญา'!$G$22:$G$63)</f>
        <v>24253.280000000006</v>
      </c>
      <c r="I8" s="11">
        <f>SUMIF('2-พอร์ตสัญญา'!$E$22:$E$63,F8,'2-พอร์ตสัญญา'!$H$22:$H$63)</f>
        <v>18189.919999999991</v>
      </c>
      <c r="J8" s="23">
        <f>IF($H$10=0,0,H8/$H$10)</f>
        <v>0.38095238095238104</v>
      </c>
    </row>
    <row r="9" spans="2:10" x14ac:dyDescent="0.35">
      <c r="B9" s="6" t="s">
        <v>83</v>
      </c>
      <c r="C9" s="13" t="s">
        <v>84</v>
      </c>
      <c r="D9" s="21">
        <v>0.75</v>
      </c>
      <c r="F9" s="6" t="s">
        <v>85</v>
      </c>
      <c r="G9" s="22">
        <f>COUNTIF('2-พอร์ตสัญญา'!$E$22:$E$63,F9)</f>
        <v>3</v>
      </c>
      <c r="H9" s="11">
        <f>SUMIF('2-พอร์ตสัญญา'!$E$22:$E$63,F9,'2-พอร์ตสัญญา'!$G$22:$G$63)</f>
        <v>4547.49</v>
      </c>
      <c r="I9" s="11">
        <f>SUMIF('2-พอร์ตสัญญา'!$E$22:$E$63,F9,'2-พอร์ตสัญญา'!$H$22:$H$63)</f>
        <v>4547.49</v>
      </c>
      <c r="J9" s="23">
        <f>IF($H$10=0,0,H9/$H$10)</f>
        <v>7.1428571428571425E-2</v>
      </c>
    </row>
    <row r="10" spans="2:10" x14ac:dyDescent="0.35">
      <c r="B10" s="6" t="s">
        <v>85</v>
      </c>
      <c r="C10" s="13" t="s">
        <v>86</v>
      </c>
      <c r="D10" s="21">
        <v>1</v>
      </c>
      <c r="F10" s="4" t="s">
        <v>87</v>
      </c>
      <c r="G10" s="24">
        <f>SUM(G5:G9)</f>
        <v>42</v>
      </c>
      <c r="H10" s="15">
        <f>SUM(H5:H9)</f>
        <v>63664.86</v>
      </c>
      <c r="I10" s="15">
        <f>SUM(I5:I9)</f>
        <v>29907.319999999992</v>
      </c>
      <c r="J10" s="25">
        <f>IF(H10=0,0,H10/H10)</f>
        <v>1</v>
      </c>
    </row>
    <row r="12" spans="2:10" x14ac:dyDescent="0.35">
      <c r="F12" s="2" t="s">
        <v>88</v>
      </c>
      <c r="I12" s="26" t="str">
        <f>IF(ROUND(H10,2)=ROUND('2-พอร์ตสัญญา'!F17,2),"✔ ตรง","✘ ไม่ตรง")</f>
        <v>✔ ตรง</v>
      </c>
    </row>
    <row r="14" spans="2:10" x14ac:dyDescent="0.35">
      <c r="F14" s="2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"/>
  <sheetViews>
    <sheetView workbookViewId="0"/>
  </sheetViews>
  <sheetFormatPr defaultRowHeight="14.5" x14ac:dyDescent="0.35"/>
  <cols>
    <col min="1" max="1" width="3" customWidth="1"/>
    <col min="2" max="2" width="34" customWidth="1"/>
    <col min="3" max="6" width="14" customWidth="1"/>
    <col min="7" max="7" width="42" customWidth="1"/>
  </cols>
  <sheetData>
    <row r="2" spans="2:7" ht="17.5" x14ac:dyDescent="0.35">
      <c r="B2" s="1" t="s">
        <v>90</v>
      </c>
    </row>
    <row r="3" spans="2:7" x14ac:dyDescent="0.35">
      <c r="B3" s="2" t="s">
        <v>91</v>
      </c>
    </row>
    <row r="5" spans="2:7" x14ac:dyDescent="0.35">
      <c r="C5" s="27" t="s">
        <v>92</v>
      </c>
      <c r="D5" s="27" t="s">
        <v>93</v>
      </c>
      <c r="E5" s="27" t="s">
        <v>94</v>
      </c>
      <c r="F5" s="27" t="s">
        <v>95</v>
      </c>
    </row>
    <row r="6" spans="2:7" x14ac:dyDescent="0.35">
      <c r="B6" s="6" t="s">
        <v>96</v>
      </c>
      <c r="C6" s="10">
        <v>4</v>
      </c>
      <c r="D6" s="10">
        <v>5</v>
      </c>
      <c r="E6" s="10">
        <v>6</v>
      </c>
      <c r="F6" s="10">
        <v>7</v>
      </c>
      <c r="G6" s="2" t="s">
        <v>97</v>
      </c>
    </row>
    <row r="7" spans="2:7" x14ac:dyDescent="0.35">
      <c r="B7" s="6" t="s">
        <v>98</v>
      </c>
      <c r="C7" s="10">
        <v>45</v>
      </c>
      <c r="D7" s="10">
        <v>75</v>
      </c>
      <c r="E7" s="10">
        <v>105</v>
      </c>
      <c r="F7" s="10">
        <v>135</v>
      </c>
      <c r="G7" s="2" t="s">
        <v>99</v>
      </c>
    </row>
    <row r="8" spans="2:7" x14ac:dyDescent="0.35">
      <c r="B8" s="6" t="s">
        <v>100</v>
      </c>
      <c r="C8" s="19">
        <f>C6-3</f>
        <v>1</v>
      </c>
      <c r="D8" s="19">
        <f>D6-3</f>
        <v>2</v>
      </c>
      <c r="E8" s="19">
        <f>E6-3</f>
        <v>3</v>
      </c>
      <c r="F8" s="19">
        <f>F6-3</f>
        <v>4</v>
      </c>
    </row>
    <row r="9" spans="2:7" x14ac:dyDescent="0.35">
      <c r="B9" s="6" t="s">
        <v>101</v>
      </c>
      <c r="C9" s="11">
        <f>C8*'2-พอร์ตสัญญา'!$G$18</f>
        <v>1515.83</v>
      </c>
      <c r="D9" s="11">
        <f>D8*'2-พอร์ตสัญญา'!$G$18</f>
        <v>3031.66</v>
      </c>
      <c r="E9" s="11">
        <f>E8*'2-พอร์ตสัญญา'!$G$18</f>
        <v>4547.49</v>
      </c>
      <c r="F9" s="11">
        <f>F8*'2-พอร์ตสัญญา'!$G$18</f>
        <v>6063.32</v>
      </c>
      <c r="G9" s="2" t="s">
        <v>102</v>
      </c>
    </row>
    <row r="10" spans="2:7" x14ac:dyDescent="0.35">
      <c r="B10" s="6" t="s">
        <v>103</v>
      </c>
      <c r="C10" s="11">
        <f>17000-C6*1416.66</f>
        <v>11333.36</v>
      </c>
      <c r="D10" s="11">
        <f>17000-D6*1416.66</f>
        <v>9916.7000000000007</v>
      </c>
      <c r="E10" s="11">
        <f>17000-E6*1416.66</f>
        <v>8500.0399999999991</v>
      </c>
      <c r="F10" s="11">
        <f>17000-F6*1416.66</f>
        <v>7083.3799999999992</v>
      </c>
    </row>
    <row r="11" spans="2:7" x14ac:dyDescent="0.35">
      <c r="B11" s="6" t="s">
        <v>104</v>
      </c>
      <c r="C11" s="11">
        <f>6000-C6*500</f>
        <v>4000</v>
      </c>
      <c r="D11" s="11">
        <f>6000-D6*500</f>
        <v>3500</v>
      </c>
      <c r="E11" s="11">
        <f>6000-E6*500</f>
        <v>3000</v>
      </c>
      <c r="F11" s="11">
        <f>6000-F6*500</f>
        <v>2500</v>
      </c>
    </row>
    <row r="12" spans="2:7" x14ac:dyDescent="0.35">
      <c r="B12" s="6" t="s">
        <v>105</v>
      </c>
      <c r="C12" s="11">
        <f>1190-C6*99.17</f>
        <v>793.31999999999994</v>
      </c>
      <c r="D12" s="11">
        <f>1190-D6*99.17</f>
        <v>694.15</v>
      </c>
      <c r="E12" s="11">
        <f>1190-E6*99.17</f>
        <v>594.98</v>
      </c>
      <c r="F12" s="11">
        <f>1190-F6*99.17</f>
        <v>495.80999999999995</v>
      </c>
    </row>
    <row r="13" spans="2:7" x14ac:dyDescent="0.35">
      <c r="B13" s="6" t="s">
        <v>106</v>
      </c>
      <c r="C13" s="11">
        <f>C8*99.17</f>
        <v>99.17</v>
      </c>
      <c r="D13" s="11">
        <f>D8*99.17</f>
        <v>198.34</v>
      </c>
      <c r="E13" s="11">
        <f>E8*99.17</f>
        <v>297.51</v>
      </c>
      <c r="F13" s="11">
        <f>F8*99.17</f>
        <v>396.68</v>
      </c>
    </row>
    <row r="14" spans="2:7" x14ac:dyDescent="0.35">
      <c r="B14" s="6" t="s">
        <v>107</v>
      </c>
      <c r="C14" s="28">
        <v>5000</v>
      </c>
      <c r="D14" s="28">
        <v>5000</v>
      </c>
      <c r="E14" s="28">
        <v>5000</v>
      </c>
      <c r="F14" s="28">
        <v>5000</v>
      </c>
    </row>
    <row r="15" spans="2:7" x14ac:dyDescent="0.35">
      <c r="B15" s="29" t="s">
        <v>108</v>
      </c>
      <c r="C15" s="30">
        <f>C9+C10+C12-C14-C13</f>
        <v>8543.34</v>
      </c>
      <c r="D15" s="30">
        <f>D9+D10+D12-D14-D13</f>
        <v>8444.17</v>
      </c>
      <c r="E15" s="30">
        <f>E9+E10+E12-E14-E13</f>
        <v>8344.9999999999982</v>
      </c>
      <c r="F15" s="30">
        <f>F9+F10+F12-F14-F13</f>
        <v>8245.8299999999981</v>
      </c>
      <c r="G15" s="2" t="s">
        <v>109</v>
      </c>
    </row>
    <row r="16" spans="2:7" x14ac:dyDescent="0.35">
      <c r="B16" s="31" t="s">
        <v>110</v>
      </c>
      <c r="C16" s="32">
        <v>30.32</v>
      </c>
      <c r="D16" s="32">
        <v>257.69</v>
      </c>
      <c r="E16" s="32">
        <v>1015.61</v>
      </c>
      <c r="F16" s="32">
        <v>2152.48</v>
      </c>
      <c r="G16" s="2" t="s">
        <v>111</v>
      </c>
    </row>
    <row r="17" spans="2:8" x14ac:dyDescent="0.35">
      <c r="B17" s="6" t="s">
        <v>112</v>
      </c>
      <c r="C17" s="11">
        <f>MIN(C15,C16)</f>
        <v>30.32</v>
      </c>
      <c r="D17" s="11">
        <f>MIN(D15,D16)</f>
        <v>257.69</v>
      </c>
      <c r="E17" s="11">
        <f>MIN(E15,E16)</f>
        <v>1015.61</v>
      </c>
      <c r="F17" s="11">
        <f>MIN(F15,F16)</f>
        <v>2152.48</v>
      </c>
    </row>
    <row r="18" spans="2:8" x14ac:dyDescent="0.35">
      <c r="B18" s="6" t="s">
        <v>113</v>
      </c>
      <c r="C18" s="11">
        <f>C16-C17</f>
        <v>0</v>
      </c>
      <c r="D18" s="11">
        <f>D16-D17</f>
        <v>0</v>
      </c>
      <c r="E18" s="11">
        <f>E16-E17</f>
        <v>0</v>
      </c>
      <c r="F18" s="11">
        <f>F16-F17</f>
        <v>0</v>
      </c>
    </row>
    <row r="19" spans="2:8" x14ac:dyDescent="0.35">
      <c r="B19" s="29" t="s">
        <v>114</v>
      </c>
      <c r="C19" s="30">
        <f>C15-C17</f>
        <v>8513.02</v>
      </c>
      <c r="D19" s="30">
        <f>D15-D17</f>
        <v>8186.4800000000005</v>
      </c>
      <c r="E19" s="30">
        <f>E15-E17</f>
        <v>7329.3899999999985</v>
      </c>
      <c r="F19" s="30">
        <f>F15-F17</f>
        <v>6093.3499999999985</v>
      </c>
    </row>
    <row r="20" spans="2:8" x14ac:dyDescent="0.35">
      <c r="B20" s="31" t="s">
        <v>115</v>
      </c>
      <c r="C20" s="33">
        <f>C16-C17-C18</f>
        <v>0</v>
      </c>
      <c r="D20" s="33">
        <f>D16-D17-D18</f>
        <v>0</v>
      </c>
      <c r="E20" s="33">
        <f>E16-E17-E18</f>
        <v>0</v>
      </c>
      <c r="F20" s="33">
        <f>F16-F17-F18</f>
        <v>0</v>
      </c>
    </row>
    <row r="21" spans="2:8" x14ac:dyDescent="0.35">
      <c r="B21" s="6" t="s">
        <v>116</v>
      </c>
      <c r="C21" s="11">
        <f>1190-C13</f>
        <v>1090.83</v>
      </c>
      <c r="D21" s="11">
        <f>1190-D13</f>
        <v>991.66</v>
      </c>
      <c r="E21" s="11">
        <f>1190-E13</f>
        <v>892.49</v>
      </c>
      <c r="F21" s="11">
        <f>1190-F13</f>
        <v>793.31999999999994</v>
      </c>
      <c r="G21" s="2" t="s">
        <v>117</v>
      </c>
    </row>
    <row r="22" spans="2:8" x14ac:dyDescent="0.35">
      <c r="B22" s="6" t="s">
        <v>118</v>
      </c>
      <c r="C22" s="11">
        <f>4547.49+C14-11000-C21</f>
        <v>-2543.34</v>
      </c>
      <c r="D22" s="11">
        <f>4547.49+D14-11000-D21</f>
        <v>-2444.17</v>
      </c>
      <c r="E22" s="11">
        <f>4547.49+E14-11000-E21</f>
        <v>-2345</v>
      </c>
      <c r="F22" s="11">
        <f>4547.49+F14-11000-F21</f>
        <v>-2245.83</v>
      </c>
      <c r="G22" s="2" t="s">
        <v>119</v>
      </c>
    </row>
    <row r="25" spans="2:8" ht="15.5" x14ac:dyDescent="0.35">
      <c r="B25" s="3" t="s">
        <v>120</v>
      </c>
    </row>
    <row r="26" spans="2:8" ht="25" x14ac:dyDescent="0.35">
      <c r="B26" s="9" t="s">
        <v>121</v>
      </c>
      <c r="C26" s="9" t="s">
        <v>122</v>
      </c>
      <c r="D26" s="9" t="s">
        <v>123</v>
      </c>
      <c r="E26" s="9" t="s">
        <v>124</v>
      </c>
      <c r="F26" s="9" t="s">
        <v>125</v>
      </c>
      <c r="G26" s="9" t="s">
        <v>126</v>
      </c>
      <c r="H26" s="9" t="s">
        <v>127</v>
      </c>
    </row>
    <row r="27" spans="2:8" x14ac:dyDescent="0.35">
      <c r="B27" s="6" t="s">
        <v>128</v>
      </c>
      <c r="C27" s="28">
        <v>1000</v>
      </c>
      <c r="D27" s="28">
        <v>0</v>
      </c>
      <c r="E27" s="11">
        <f>'2-พอร์ตสัญญา'!$G$18-(C27-D27)</f>
        <v>515.82999999999993</v>
      </c>
      <c r="F27" s="11">
        <f>ROUND(E27*0.15,2)</f>
        <v>77.37</v>
      </c>
      <c r="G27" s="11">
        <f>ROUND(99.17*E27/'2-พอร์ตสัญญา'!$G$18,2)</f>
        <v>33.75</v>
      </c>
      <c r="H27" s="11">
        <f>E27-G27</f>
        <v>482.07999999999993</v>
      </c>
    </row>
    <row r="28" spans="2:8" x14ac:dyDescent="0.35">
      <c r="B28" s="6" t="s">
        <v>129</v>
      </c>
      <c r="C28" s="28">
        <v>1000</v>
      </c>
      <c r="D28" s="28">
        <v>75.790000000000006</v>
      </c>
      <c r="E28" s="11">
        <f>'2-พอร์ตสัญญา'!$G$18-(C28-D28)</f>
        <v>591.61999999999989</v>
      </c>
      <c r="F28" s="11">
        <f>ROUND(E28*0.15,2)</f>
        <v>88.74</v>
      </c>
      <c r="G28" s="11">
        <f>ROUND(99.17*E28/'2-พอร์ตสัญญา'!$G$18,2)</f>
        <v>38.71</v>
      </c>
      <c r="H28" s="11">
        <f>E28-G28</f>
        <v>552.90999999999985</v>
      </c>
    </row>
    <row r="30" spans="2:8" x14ac:dyDescent="0.35">
      <c r="B30" s="2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61"/>
  <sheetViews>
    <sheetView workbookViewId="0"/>
  </sheetViews>
  <sheetFormatPr defaultRowHeight="14.5" x14ac:dyDescent="0.35"/>
  <cols>
    <col min="1" max="1" width="3" customWidth="1"/>
    <col min="2" max="2" width="11" customWidth="1"/>
    <col min="3" max="3" width="40" customWidth="1"/>
    <col min="4" max="5" width="14" customWidth="1"/>
    <col min="6" max="6" width="46" customWidth="1"/>
  </cols>
  <sheetData>
    <row r="2" spans="2:6" ht="17.5" x14ac:dyDescent="0.35">
      <c r="B2" s="1" t="s">
        <v>131</v>
      </c>
    </row>
    <row r="3" spans="2:6" x14ac:dyDescent="0.35">
      <c r="B3" s="2" t="s">
        <v>132</v>
      </c>
    </row>
    <row r="5" spans="2:6" x14ac:dyDescent="0.35">
      <c r="B5" s="34" t="s">
        <v>133</v>
      </c>
    </row>
    <row r="6" spans="2:6" x14ac:dyDescent="0.35">
      <c r="B6" s="9" t="s">
        <v>134</v>
      </c>
      <c r="C6" s="9" t="s">
        <v>135</v>
      </c>
      <c r="D6" s="9" t="s">
        <v>136</v>
      </c>
      <c r="E6" s="9" t="s">
        <v>137</v>
      </c>
    </row>
    <row r="7" spans="2:6" x14ac:dyDescent="0.35">
      <c r="B7" s="6" t="s">
        <v>138</v>
      </c>
      <c r="C7" s="6" t="s">
        <v>139</v>
      </c>
      <c r="D7" s="28">
        <v>17000</v>
      </c>
      <c r="E7" s="28"/>
    </row>
    <row r="8" spans="2:6" x14ac:dyDescent="0.35">
      <c r="B8" s="6" t="s">
        <v>140</v>
      </c>
      <c r="C8" s="6" t="s">
        <v>141</v>
      </c>
      <c r="D8" s="28">
        <v>1190</v>
      </c>
      <c r="E8" s="28"/>
    </row>
    <row r="9" spans="2:6" x14ac:dyDescent="0.35">
      <c r="B9" s="6" t="s">
        <v>142</v>
      </c>
      <c r="C9" s="6" t="s">
        <v>143</v>
      </c>
      <c r="D9" s="28"/>
      <c r="E9" s="28">
        <v>10000</v>
      </c>
    </row>
    <row r="10" spans="2:6" x14ac:dyDescent="0.35">
      <c r="B10" s="6" t="s">
        <v>144</v>
      </c>
      <c r="C10" s="6" t="s">
        <v>145</v>
      </c>
      <c r="D10" s="28"/>
      <c r="E10" s="28">
        <v>1000</v>
      </c>
    </row>
    <row r="11" spans="2:6" x14ac:dyDescent="0.35">
      <c r="B11" s="6" t="s">
        <v>146</v>
      </c>
      <c r="C11" s="6" t="s">
        <v>147</v>
      </c>
      <c r="D11" s="28"/>
      <c r="E11" s="28">
        <v>6000</v>
      </c>
    </row>
    <row r="12" spans="2:6" x14ac:dyDescent="0.35">
      <c r="B12" s="6" t="s">
        <v>148</v>
      </c>
      <c r="C12" s="6" t="s">
        <v>149</v>
      </c>
      <c r="D12" s="28"/>
      <c r="E12" s="28">
        <v>1190</v>
      </c>
    </row>
    <row r="13" spans="2:6" x14ac:dyDescent="0.35">
      <c r="C13" s="4" t="s">
        <v>150</v>
      </c>
      <c r="D13" s="15">
        <f>SUM(D7:D12)</f>
        <v>18190</v>
      </c>
      <c r="E13" s="15">
        <f>SUM(E7:E12)</f>
        <v>18190</v>
      </c>
      <c r="F13" s="18" t="str">
        <f>IF(ROUND(D13,2)=ROUND(E13,2),"✔ BALANCED","✘ UNBALANCED")</f>
        <v>✔ BALANCED</v>
      </c>
    </row>
    <row r="15" spans="2:6" x14ac:dyDescent="0.35">
      <c r="B15" s="34" t="s">
        <v>151</v>
      </c>
    </row>
    <row r="16" spans="2:6" x14ac:dyDescent="0.35">
      <c r="B16" s="9" t="s">
        <v>134</v>
      </c>
      <c r="C16" s="9" t="s">
        <v>135</v>
      </c>
      <c r="D16" s="9" t="s">
        <v>136</v>
      </c>
      <c r="E16" s="9" t="s">
        <v>137</v>
      </c>
    </row>
    <row r="17" spans="2:6" x14ac:dyDescent="0.35">
      <c r="B17" s="6" t="s">
        <v>142</v>
      </c>
      <c r="C17" s="6" t="s">
        <v>152</v>
      </c>
      <c r="D17" s="28">
        <v>10000</v>
      </c>
      <c r="E17" s="28"/>
    </row>
    <row r="18" spans="2:6" x14ac:dyDescent="0.35">
      <c r="B18" s="6" t="s">
        <v>144</v>
      </c>
      <c r="C18" s="6" t="s">
        <v>145</v>
      </c>
      <c r="D18" s="28">
        <v>1000</v>
      </c>
      <c r="E18" s="28"/>
    </row>
    <row r="19" spans="2:6" x14ac:dyDescent="0.35">
      <c r="B19" s="6" t="s">
        <v>153</v>
      </c>
      <c r="C19" s="6" t="s">
        <v>154</v>
      </c>
      <c r="D19" s="28"/>
      <c r="E19" s="28">
        <v>11000</v>
      </c>
    </row>
    <row r="20" spans="2:6" x14ac:dyDescent="0.35">
      <c r="C20" s="4" t="s">
        <v>150</v>
      </c>
      <c r="D20" s="15">
        <f>SUM(D17:D19)</f>
        <v>11000</v>
      </c>
      <c r="E20" s="15">
        <f>SUM(E17:E19)</f>
        <v>11000</v>
      </c>
      <c r="F20" s="18" t="str">
        <f>IF(ROUND(D20,2)=ROUND(E20,2),"✔ BALANCED","✘ UNBALANCED")</f>
        <v>✔ BALANCED</v>
      </c>
    </row>
    <row r="22" spans="2:6" x14ac:dyDescent="0.35">
      <c r="B22" s="34" t="s">
        <v>155</v>
      </c>
      <c r="F22" s="2" t="s">
        <v>156</v>
      </c>
    </row>
    <row r="23" spans="2:6" x14ac:dyDescent="0.35">
      <c r="B23" s="9" t="s">
        <v>134</v>
      </c>
      <c r="C23" s="9" t="s">
        <v>135</v>
      </c>
      <c r="D23" s="9" t="s">
        <v>136</v>
      </c>
      <c r="E23" s="9" t="s">
        <v>137</v>
      </c>
    </row>
    <row r="24" spans="2:6" x14ac:dyDescent="0.35">
      <c r="B24" s="6" t="s">
        <v>157</v>
      </c>
      <c r="C24" s="6" t="s">
        <v>158</v>
      </c>
      <c r="D24" s="28">
        <v>1515.83</v>
      </c>
      <c r="E24" s="28"/>
    </row>
    <row r="25" spans="2:6" x14ac:dyDescent="0.35">
      <c r="B25" s="6" t="s">
        <v>148</v>
      </c>
      <c r="C25" s="6" t="s">
        <v>159</v>
      </c>
      <c r="D25" s="28">
        <v>99.17</v>
      </c>
      <c r="E25" s="28"/>
    </row>
    <row r="26" spans="2:6" x14ac:dyDescent="0.35">
      <c r="B26" s="6" t="s">
        <v>146</v>
      </c>
      <c r="C26" s="6" t="s">
        <v>160</v>
      </c>
      <c r="D26" s="28">
        <v>500</v>
      </c>
      <c r="E26" s="28"/>
    </row>
    <row r="27" spans="2:6" x14ac:dyDescent="0.35">
      <c r="B27" s="6" t="s">
        <v>138</v>
      </c>
      <c r="C27" s="6" t="s">
        <v>161</v>
      </c>
      <c r="D27" s="28"/>
      <c r="E27" s="28">
        <v>1416.66</v>
      </c>
    </row>
    <row r="28" spans="2:6" x14ac:dyDescent="0.35">
      <c r="B28" s="6" t="s">
        <v>140</v>
      </c>
      <c r="C28" s="6" t="s">
        <v>162</v>
      </c>
      <c r="D28" s="28"/>
      <c r="E28" s="28">
        <v>99.17</v>
      </c>
    </row>
    <row r="29" spans="2:6" x14ac:dyDescent="0.35">
      <c r="B29" s="6" t="s">
        <v>163</v>
      </c>
      <c r="C29" s="6" t="s">
        <v>164</v>
      </c>
      <c r="D29" s="28"/>
      <c r="E29" s="28">
        <v>99.17</v>
      </c>
    </row>
    <row r="30" spans="2:6" x14ac:dyDescent="0.35">
      <c r="B30" s="6" t="s">
        <v>165</v>
      </c>
      <c r="C30" s="6" t="s">
        <v>166</v>
      </c>
      <c r="D30" s="28"/>
      <c r="E30" s="28">
        <v>500</v>
      </c>
    </row>
    <row r="31" spans="2:6" x14ac:dyDescent="0.35">
      <c r="C31" s="4" t="s">
        <v>150</v>
      </c>
      <c r="D31" s="15">
        <f>SUM(D24:D30)</f>
        <v>2115</v>
      </c>
      <c r="E31" s="15">
        <f>SUM(E24:E30)</f>
        <v>2115</v>
      </c>
      <c r="F31" s="18" t="str">
        <f>IF(ROUND(D31,2)=ROUND(E31,2),"✔ BALANCED","✘ UNBALANCED")</f>
        <v>✔ BALANCED</v>
      </c>
    </row>
    <row r="33" spans="2:6" x14ac:dyDescent="0.35">
      <c r="B33" s="34" t="s">
        <v>167</v>
      </c>
      <c r="F33" s="2" t="s">
        <v>168</v>
      </c>
    </row>
    <row r="34" spans="2:6" x14ac:dyDescent="0.35">
      <c r="B34" s="9" t="s">
        <v>134</v>
      </c>
      <c r="C34" s="9" t="s">
        <v>135</v>
      </c>
      <c r="D34" s="9" t="s">
        <v>136</v>
      </c>
      <c r="E34" s="9" t="s">
        <v>137</v>
      </c>
    </row>
    <row r="35" spans="2:6" x14ac:dyDescent="0.35">
      <c r="B35" s="6" t="s">
        <v>169</v>
      </c>
      <c r="C35" s="6" t="s">
        <v>170</v>
      </c>
      <c r="D35" s="28">
        <v>1515.83</v>
      </c>
      <c r="E35" s="28"/>
    </row>
    <row r="36" spans="2:6" x14ac:dyDescent="0.35">
      <c r="B36" s="6" t="s">
        <v>157</v>
      </c>
      <c r="C36" s="6" t="s">
        <v>171</v>
      </c>
      <c r="D36" s="28"/>
      <c r="E36" s="28">
        <v>1515.83</v>
      </c>
    </row>
    <row r="37" spans="2:6" x14ac:dyDescent="0.35">
      <c r="C37" s="4" t="s">
        <v>150</v>
      </c>
      <c r="D37" s="15">
        <f>SUM(D35:D36)</f>
        <v>1515.83</v>
      </c>
      <c r="E37" s="15">
        <f>SUM(E35:E36)</f>
        <v>1515.83</v>
      </c>
      <c r="F37" s="18" t="str">
        <f>IF(ROUND(D37,2)=ROUND(E37,2),"✔ BALANCED","✘ UNBALANCED")</f>
        <v>✔ BALANCED</v>
      </c>
    </row>
    <row r="39" spans="2:6" x14ac:dyDescent="0.35">
      <c r="B39" s="34" t="s">
        <v>172</v>
      </c>
    </row>
    <row r="40" spans="2:6" x14ac:dyDescent="0.35">
      <c r="B40" s="9" t="s">
        <v>134</v>
      </c>
      <c r="C40" s="9" t="s">
        <v>135</v>
      </c>
      <c r="D40" s="9" t="s">
        <v>136</v>
      </c>
      <c r="E40" s="9" t="s">
        <v>137</v>
      </c>
    </row>
    <row r="41" spans="2:6" x14ac:dyDescent="0.35">
      <c r="B41" s="6" t="s">
        <v>173</v>
      </c>
      <c r="C41" s="6" t="s">
        <v>174</v>
      </c>
      <c r="D41" s="28">
        <v>30.32</v>
      </c>
      <c r="E41" s="28"/>
    </row>
    <row r="42" spans="2:6" x14ac:dyDescent="0.35">
      <c r="B42" s="6" t="s">
        <v>175</v>
      </c>
      <c r="C42" s="6" t="s">
        <v>176</v>
      </c>
      <c r="D42" s="28"/>
      <c r="E42" s="28">
        <v>30.32</v>
      </c>
    </row>
    <row r="43" spans="2:6" x14ac:dyDescent="0.35">
      <c r="C43" s="4" t="s">
        <v>150</v>
      </c>
      <c r="D43" s="15">
        <f>SUM(D41:D42)</f>
        <v>30.32</v>
      </c>
      <c r="E43" s="15">
        <f>SUM(E41:E42)</f>
        <v>30.32</v>
      </c>
      <c r="F43" s="18" t="str">
        <f>IF(ROUND(D43,2)=ROUND(E43,2),"✔ BALANCED","✘ UNBALANCED")</f>
        <v>✔ BALANCED</v>
      </c>
    </row>
    <row r="45" spans="2:6" x14ac:dyDescent="0.35">
      <c r="B45" s="34" t="s">
        <v>177</v>
      </c>
      <c r="F45" s="2" t="s">
        <v>178</v>
      </c>
    </row>
    <row r="46" spans="2:6" x14ac:dyDescent="0.35">
      <c r="B46" s="9" t="s">
        <v>134</v>
      </c>
      <c r="C46" s="9" t="s">
        <v>135</v>
      </c>
      <c r="D46" s="9" t="s">
        <v>136</v>
      </c>
      <c r="E46" s="9" t="s">
        <v>137</v>
      </c>
    </row>
    <row r="47" spans="2:6" x14ac:dyDescent="0.35">
      <c r="B47" s="6" t="s">
        <v>169</v>
      </c>
      <c r="C47" s="6" t="s">
        <v>179</v>
      </c>
      <c r="D47" s="28">
        <v>5000</v>
      </c>
      <c r="E47" s="28"/>
    </row>
    <row r="48" spans="2:6" x14ac:dyDescent="0.35">
      <c r="B48" s="6" t="s">
        <v>163</v>
      </c>
      <c r="C48" s="6" t="s">
        <v>180</v>
      </c>
      <c r="D48" s="28">
        <v>99.17</v>
      </c>
      <c r="E48" s="28"/>
    </row>
    <row r="49" spans="2:6" x14ac:dyDescent="0.35">
      <c r="B49" s="6" t="s">
        <v>146</v>
      </c>
      <c r="C49" s="6" t="s">
        <v>181</v>
      </c>
      <c r="D49" s="28">
        <v>4000</v>
      </c>
      <c r="E49" s="28"/>
    </row>
    <row r="50" spans="2:6" x14ac:dyDescent="0.35">
      <c r="B50" s="6" t="s">
        <v>148</v>
      </c>
      <c r="C50" s="6" t="s">
        <v>182</v>
      </c>
      <c r="D50" s="28">
        <v>793.32</v>
      </c>
      <c r="E50" s="28"/>
    </row>
    <row r="51" spans="2:6" x14ac:dyDescent="0.35">
      <c r="B51" s="6" t="s">
        <v>175</v>
      </c>
      <c r="C51" s="6" t="s">
        <v>183</v>
      </c>
      <c r="D51" s="28">
        <v>30.32</v>
      </c>
      <c r="E51" s="28"/>
    </row>
    <row r="52" spans="2:6" x14ac:dyDescent="0.35">
      <c r="B52" s="6" t="s">
        <v>184</v>
      </c>
      <c r="C52" s="6" t="s">
        <v>185</v>
      </c>
      <c r="D52" s="28">
        <v>8513.02</v>
      </c>
      <c r="E52" s="28"/>
    </row>
    <row r="53" spans="2:6" x14ac:dyDescent="0.35">
      <c r="B53" s="6" t="s">
        <v>157</v>
      </c>
      <c r="C53" s="6" t="s">
        <v>186</v>
      </c>
      <c r="D53" s="28"/>
      <c r="E53" s="28">
        <v>1515.83</v>
      </c>
    </row>
    <row r="54" spans="2:6" x14ac:dyDescent="0.35">
      <c r="B54" s="6" t="s">
        <v>138</v>
      </c>
      <c r="C54" s="6" t="s">
        <v>187</v>
      </c>
      <c r="D54" s="28"/>
      <c r="E54" s="28">
        <v>11333.36</v>
      </c>
    </row>
    <row r="55" spans="2:6" x14ac:dyDescent="0.35">
      <c r="B55" s="6" t="s">
        <v>140</v>
      </c>
      <c r="C55" s="6" t="s">
        <v>188</v>
      </c>
      <c r="D55" s="28"/>
      <c r="E55" s="28">
        <v>793.32</v>
      </c>
    </row>
    <row r="56" spans="2:6" x14ac:dyDescent="0.35">
      <c r="B56" s="6" t="s">
        <v>163</v>
      </c>
      <c r="C56" s="6" t="s">
        <v>189</v>
      </c>
      <c r="D56" s="28"/>
      <c r="E56" s="28">
        <v>793.32</v>
      </c>
    </row>
    <row r="57" spans="2:6" x14ac:dyDescent="0.35">
      <c r="B57" s="6" t="s">
        <v>165</v>
      </c>
      <c r="C57" s="6" t="s">
        <v>190</v>
      </c>
      <c r="D57" s="28"/>
      <c r="E57" s="28">
        <v>4000</v>
      </c>
    </row>
    <row r="58" spans="2:6" x14ac:dyDescent="0.35">
      <c r="C58" s="4" t="s">
        <v>150</v>
      </c>
      <c r="D58" s="15">
        <f>SUM(D47:D57)</f>
        <v>18435.830000000002</v>
      </c>
      <c r="E58" s="15">
        <f>SUM(E47:E57)</f>
        <v>18435.830000000002</v>
      </c>
      <c r="F58" s="18" t="str">
        <f>IF(ROUND(D58,2)=ROUND(E58,2),"✔ BALANCED","✘ UNBALANCED")</f>
        <v>✔ BALANCED</v>
      </c>
    </row>
    <row r="60" spans="2:6" x14ac:dyDescent="0.35">
      <c r="B60" s="2" t="s">
        <v>191</v>
      </c>
    </row>
    <row r="61" spans="2:6" x14ac:dyDescent="0.35">
      <c r="B61" s="2" t="s">
        <v>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6"/>
  <sheetViews>
    <sheetView workbookViewId="0"/>
  </sheetViews>
  <sheetFormatPr defaultRowHeight="14.5" x14ac:dyDescent="0.35"/>
  <cols>
    <col min="1" max="1" width="3" customWidth="1"/>
    <col min="2" max="2" width="15" customWidth="1"/>
    <col min="3" max="3" width="11" customWidth="1"/>
    <col min="4" max="6" width="8" customWidth="1"/>
    <col min="7" max="8" width="12" customWidth="1"/>
    <col min="9" max="11" width="11" customWidth="1"/>
    <col min="12" max="16" width="12" customWidth="1"/>
    <col min="17" max="17" width="11" customWidth="1"/>
  </cols>
  <sheetData>
    <row r="2" spans="2:18" ht="17.5" x14ac:dyDescent="0.35">
      <c r="B2" s="1" t="s">
        <v>193</v>
      </c>
    </row>
    <row r="3" spans="2:18" x14ac:dyDescent="0.35">
      <c r="B3" s="2" t="s">
        <v>194</v>
      </c>
    </row>
    <row r="5" spans="2:18" ht="25" x14ac:dyDescent="0.35">
      <c r="B5" s="9" t="s">
        <v>22</v>
      </c>
      <c r="C5" s="9" t="s">
        <v>24</v>
      </c>
      <c r="D5" s="9" t="s">
        <v>195</v>
      </c>
      <c r="E5" s="9" t="s">
        <v>196</v>
      </c>
      <c r="F5" s="9" t="s">
        <v>197</v>
      </c>
      <c r="G5" s="9" t="s">
        <v>157</v>
      </c>
      <c r="H5" s="9" t="s">
        <v>198</v>
      </c>
      <c r="I5" s="9" t="s">
        <v>146</v>
      </c>
      <c r="J5" s="9" t="s">
        <v>140</v>
      </c>
      <c r="K5" s="9" t="s">
        <v>199</v>
      </c>
      <c r="L5" s="9" t="s">
        <v>200</v>
      </c>
      <c r="M5" s="9" t="s">
        <v>201</v>
      </c>
      <c r="N5" s="9" t="s">
        <v>202</v>
      </c>
      <c r="O5" s="9" t="s">
        <v>203</v>
      </c>
      <c r="P5" s="9" t="s">
        <v>204</v>
      </c>
      <c r="Q5" s="9" t="s">
        <v>205</v>
      </c>
      <c r="R5" s="9" t="s">
        <v>206</v>
      </c>
    </row>
    <row r="6" spans="2:18" x14ac:dyDescent="0.35">
      <c r="B6" s="6" t="s">
        <v>39</v>
      </c>
      <c r="C6" s="6" t="s">
        <v>41</v>
      </c>
      <c r="D6" s="10">
        <v>5</v>
      </c>
      <c r="E6" s="10">
        <v>10</v>
      </c>
      <c r="F6" s="19">
        <f t="shared" ref="F6:F11" si="0">E6-D6</f>
        <v>5</v>
      </c>
      <c r="G6" s="11">
        <f>F6*'2-พอร์ตสัญญา'!$G$18</f>
        <v>7579.15</v>
      </c>
      <c r="H6" s="11">
        <f t="shared" ref="H6:H11" si="1">17000-E6*1416.66</f>
        <v>2833.3999999999996</v>
      </c>
      <c r="I6" s="11">
        <f t="shared" ref="I6:I11" si="2">6000-E6*500</f>
        <v>1000</v>
      </c>
      <c r="J6" s="11">
        <f t="shared" ref="J6:J11" si="3">1190-E6*99.17</f>
        <v>198.29999999999995</v>
      </c>
      <c r="K6" s="11">
        <f t="shared" ref="K6:K11" si="4">F6*99.17</f>
        <v>495.85</v>
      </c>
      <c r="L6" s="28">
        <v>5000</v>
      </c>
      <c r="M6" s="11">
        <f t="shared" ref="M6:M11" si="5">G6+H6+J6-L6-K6</f>
        <v>5114.9999999999982</v>
      </c>
      <c r="N6" s="7">
        <f>'2-พอร์ตสัญญา'!I9</f>
        <v>3289.35</v>
      </c>
      <c r="O6" s="11">
        <f t="shared" ref="O6:O11" si="6">MIN(M6,N6)</f>
        <v>3289.35</v>
      </c>
      <c r="P6" s="11">
        <f t="shared" ref="P6:P11" si="7">N6-O6</f>
        <v>0</v>
      </c>
      <c r="Q6" s="11">
        <f t="shared" ref="Q6:Q11" si="8">M6-O6</f>
        <v>1825.6499999999983</v>
      </c>
      <c r="R6" s="11">
        <f t="shared" ref="R6:R11" si="9">N6-O6-P6</f>
        <v>0</v>
      </c>
    </row>
    <row r="7" spans="2:18" x14ac:dyDescent="0.35">
      <c r="B7" s="6" t="s">
        <v>42</v>
      </c>
      <c r="C7" s="6" t="s">
        <v>41</v>
      </c>
      <c r="D7" s="10">
        <v>5</v>
      </c>
      <c r="E7" s="10">
        <v>10</v>
      </c>
      <c r="F7" s="19">
        <f t="shared" si="0"/>
        <v>5</v>
      </c>
      <c r="G7" s="11">
        <f>F7*'2-พอร์ตสัญญา'!$G$18</f>
        <v>7579.15</v>
      </c>
      <c r="H7" s="11">
        <f t="shared" si="1"/>
        <v>2833.3999999999996</v>
      </c>
      <c r="I7" s="11">
        <f t="shared" si="2"/>
        <v>1000</v>
      </c>
      <c r="J7" s="11">
        <f t="shared" si="3"/>
        <v>198.29999999999995</v>
      </c>
      <c r="K7" s="11">
        <f t="shared" si="4"/>
        <v>495.85</v>
      </c>
      <c r="L7" s="28">
        <v>5000</v>
      </c>
      <c r="M7" s="11">
        <f t="shared" si="5"/>
        <v>5114.9999999999982</v>
      </c>
      <c r="N7" s="7">
        <f>'2-พอร์ตสัญญา'!I10</f>
        <v>3289.35</v>
      </c>
      <c r="O7" s="11">
        <f t="shared" si="6"/>
        <v>3289.35</v>
      </c>
      <c r="P7" s="11">
        <f t="shared" si="7"/>
        <v>0</v>
      </c>
      <c r="Q7" s="11">
        <f t="shared" si="8"/>
        <v>1825.6499999999983</v>
      </c>
      <c r="R7" s="11">
        <f t="shared" si="9"/>
        <v>0</v>
      </c>
    </row>
    <row r="8" spans="2:18" x14ac:dyDescent="0.35">
      <c r="B8" s="6" t="s">
        <v>44</v>
      </c>
      <c r="C8" s="6" t="s">
        <v>41</v>
      </c>
      <c r="D8" s="10">
        <v>5</v>
      </c>
      <c r="E8" s="10">
        <v>11</v>
      </c>
      <c r="F8" s="19">
        <f t="shared" si="0"/>
        <v>6</v>
      </c>
      <c r="G8" s="11">
        <f>F8*'2-พอร์ตสัญญา'!$G$18</f>
        <v>9094.98</v>
      </c>
      <c r="H8" s="11">
        <f t="shared" si="1"/>
        <v>1416.7399999999998</v>
      </c>
      <c r="I8" s="11">
        <f t="shared" si="2"/>
        <v>500</v>
      </c>
      <c r="J8" s="11">
        <f t="shared" si="3"/>
        <v>99.129999999999882</v>
      </c>
      <c r="K8" s="11">
        <f t="shared" si="4"/>
        <v>595.02</v>
      </c>
      <c r="L8" s="28">
        <v>5000</v>
      </c>
      <c r="M8" s="11">
        <f t="shared" si="5"/>
        <v>5015.8299999999981</v>
      </c>
      <c r="N8" s="7">
        <f>'2-พอร์ตสัญญา'!I11</f>
        <v>4426.2199999999993</v>
      </c>
      <c r="O8" s="11">
        <f t="shared" si="6"/>
        <v>4426.2199999999993</v>
      </c>
      <c r="P8" s="11">
        <f t="shared" si="7"/>
        <v>0</v>
      </c>
      <c r="Q8" s="11">
        <f t="shared" si="8"/>
        <v>589.60999999999876</v>
      </c>
      <c r="R8" s="11">
        <f t="shared" si="9"/>
        <v>0</v>
      </c>
    </row>
    <row r="9" spans="2:18" x14ac:dyDescent="0.35">
      <c r="B9" s="6" t="s">
        <v>46</v>
      </c>
      <c r="C9" s="6" t="s">
        <v>41</v>
      </c>
      <c r="D9" s="10">
        <v>5</v>
      </c>
      <c r="E9" s="10">
        <v>12</v>
      </c>
      <c r="F9" s="19">
        <f t="shared" si="0"/>
        <v>7</v>
      </c>
      <c r="G9" s="11">
        <f>F9*'2-พอร์ตสัญญา'!$G$18</f>
        <v>10610.81</v>
      </c>
      <c r="H9" s="11">
        <f t="shared" si="1"/>
        <v>7.9999999998108251E-2</v>
      </c>
      <c r="I9" s="11">
        <f t="shared" si="2"/>
        <v>0</v>
      </c>
      <c r="J9" s="11">
        <f t="shared" si="3"/>
        <v>-3.999999999996362E-2</v>
      </c>
      <c r="K9" s="11">
        <f t="shared" si="4"/>
        <v>694.19</v>
      </c>
      <c r="L9" s="28">
        <v>5000</v>
      </c>
      <c r="M9" s="11">
        <f t="shared" si="5"/>
        <v>4916.659999999998</v>
      </c>
      <c r="N9" s="7">
        <f>'2-พอร์ตสัญญา'!I12</f>
        <v>5942.0499999999993</v>
      </c>
      <c r="O9" s="11">
        <f t="shared" si="6"/>
        <v>4916.659999999998</v>
      </c>
      <c r="P9" s="11">
        <f t="shared" si="7"/>
        <v>1025.3900000000012</v>
      </c>
      <c r="Q9" s="11">
        <f t="shared" si="8"/>
        <v>0</v>
      </c>
      <c r="R9" s="11">
        <f t="shared" si="9"/>
        <v>0</v>
      </c>
    </row>
    <row r="10" spans="2:18" x14ac:dyDescent="0.35">
      <c r="B10" s="6" t="s">
        <v>48</v>
      </c>
      <c r="C10" s="6" t="s">
        <v>41</v>
      </c>
      <c r="D10" s="10">
        <v>5</v>
      </c>
      <c r="E10" s="10">
        <v>12</v>
      </c>
      <c r="F10" s="19">
        <f t="shared" si="0"/>
        <v>7</v>
      </c>
      <c r="G10" s="11">
        <f>F10*'2-พอร์ตสัญญา'!$G$18</f>
        <v>10610.81</v>
      </c>
      <c r="H10" s="11">
        <f t="shared" si="1"/>
        <v>7.9999999998108251E-2</v>
      </c>
      <c r="I10" s="11">
        <f t="shared" si="2"/>
        <v>0</v>
      </c>
      <c r="J10" s="11">
        <f t="shared" si="3"/>
        <v>-3.999999999996362E-2</v>
      </c>
      <c r="K10" s="11">
        <f t="shared" si="4"/>
        <v>694.19</v>
      </c>
      <c r="L10" s="28">
        <v>5000</v>
      </c>
      <c r="M10" s="11">
        <f t="shared" si="5"/>
        <v>4916.659999999998</v>
      </c>
      <c r="N10" s="7">
        <f>'2-พอร์ตสัญญา'!I13</f>
        <v>5942.0499999999993</v>
      </c>
      <c r="O10" s="11">
        <f t="shared" si="6"/>
        <v>4916.659999999998</v>
      </c>
      <c r="P10" s="11">
        <f t="shared" si="7"/>
        <v>1025.3900000000012</v>
      </c>
      <c r="Q10" s="11">
        <f t="shared" si="8"/>
        <v>0</v>
      </c>
      <c r="R10" s="11">
        <f t="shared" si="9"/>
        <v>0</v>
      </c>
    </row>
    <row r="11" spans="2:18" x14ac:dyDescent="0.35">
      <c r="B11" s="6" t="s">
        <v>50</v>
      </c>
      <c r="C11" s="6" t="s">
        <v>41</v>
      </c>
      <c r="D11" s="10">
        <v>5</v>
      </c>
      <c r="E11" s="10">
        <v>12</v>
      </c>
      <c r="F11" s="19">
        <f t="shared" si="0"/>
        <v>7</v>
      </c>
      <c r="G11" s="11">
        <f>F11*'2-พอร์ตสัญญา'!$G$18</f>
        <v>10610.81</v>
      </c>
      <c r="H11" s="11">
        <f t="shared" si="1"/>
        <v>7.9999999998108251E-2</v>
      </c>
      <c r="I11" s="11">
        <f t="shared" si="2"/>
        <v>0</v>
      </c>
      <c r="J11" s="11">
        <f t="shared" si="3"/>
        <v>-3.999999999996362E-2</v>
      </c>
      <c r="K11" s="11">
        <f t="shared" si="4"/>
        <v>694.19</v>
      </c>
      <c r="L11" s="28">
        <v>5000</v>
      </c>
      <c r="M11" s="11">
        <f t="shared" si="5"/>
        <v>4916.659999999998</v>
      </c>
      <c r="N11" s="7">
        <f>'2-พอร์ตสัญญา'!I14</f>
        <v>5942.0499999999993</v>
      </c>
      <c r="O11" s="11">
        <f t="shared" si="6"/>
        <v>4916.659999999998</v>
      </c>
      <c r="P11" s="11">
        <f t="shared" si="7"/>
        <v>1025.3900000000012</v>
      </c>
      <c r="Q11" s="11">
        <f t="shared" si="8"/>
        <v>0</v>
      </c>
      <c r="R11" s="11">
        <f t="shared" si="9"/>
        <v>0</v>
      </c>
    </row>
    <row r="12" spans="2:18" x14ac:dyDescent="0.35">
      <c r="B12" s="4" t="s">
        <v>87</v>
      </c>
      <c r="G12" s="15">
        <f t="shared" ref="G12:R12" si="10">SUM(G6:G11)</f>
        <v>56085.709999999992</v>
      </c>
      <c r="H12" s="15">
        <f t="shared" si="10"/>
        <v>7083.7799999999934</v>
      </c>
      <c r="I12" s="15">
        <f t="shared" si="10"/>
        <v>2500</v>
      </c>
      <c r="J12" s="15">
        <f t="shared" si="10"/>
        <v>495.6099999999999</v>
      </c>
      <c r="K12" s="15">
        <f t="shared" si="10"/>
        <v>3669.29</v>
      </c>
      <c r="L12" s="15">
        <f t="shared" si="10"/>
        <v>30000</v>
      </c>
      <c r="M12" s="15">
        <f t="shared" si="10"/>
        <v>29995.809999999983</v>
      </c>
      <c r="N12" s="15">
        <f t="shared" si="10"/>
        <v>28831.069999999996</v>
      </c>
      <c r="O12" s="15">
        <f t="shared" si="10"/>
        <v>25754.899999999994</v>
      </c>
      <c r="P12" s="15">
        <f t="shared" si="10"/>
        <v>3076.1700000000037</v>
      </c>
      <c r="Q12" s="15">
        <f t="shared" si="10"/>
        <v>4240.9099999999953</v>
      </c>
      <c r="R12" s="15">
        <f t="shared" si="10"/>
        <v>0</v>
      </c>
    </row>
    <row r="14" spans="2:18" x14ac:dyDescent="0.35">
      <c r="B14" s="2" t="s">
        <v>207</v>
      </c>
    </row>
    <row r="15" spans="2:18" x14ac:dyDescent="0.35">
      <c r="B15" s="2" t="s">
        <v>208</v>
      </c>
    </row>
    <row r="16" spans="2:18" x14ac:dyDescent="0.35">
      <c r="B16" s="2" t="s">
        <v>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7"/>
  <sheetViews>
    <sheetView workbookViewId="0"/>
  </sheetViews>
  <sheetFormatPr defaultRowHeight="14.5" x14ac:dyDescent="0.35"/>
  <cols>
    <col min="1" max="1" width="3" customWidth="1"/>
    <col min="2" max="2" width="15" customWidth="1"/>
    <col min="3" max="3" width="12" customWidth="1"/>
    <col min="4" max="5" width="13" customWidth="1"/>
    <col min="6" max="6" width="16" customWidth="1"/>
    <col min="7" max="7" width="20" customWidth="1"/>
    <col min="8" max="8" width="42" customWidth="1"/>
  </cols>
  <sheetData>
    <row r="2" spans="2:8" ht="17.5" x14ac:dyDescent="0.35">
      <c r="B2" s="1" t="s">
        <v>210</v>
      </c>
    </row>
    <row r="3" spans="2:8" x14ac:dyDescent="0.35">
      <c r="B3" s="2" t="s">
        <v>211</v>
      </c>
    </row>
    <row r="5" spans="2:8" x14ac:dyDescent="0.35">
      <c r="B5" s="9" t="s">
        <v>22</v>
      </c>
      <c r="C5" s="9" t="s">
        <v>23</v>
      </c>
      <c r="D5" s="9" t="s">
        <v>24</v>
      </c>
      <c r="E5" s="9" t="s">
        <v>212</v>
      </c>
      <c r="F5" s="9" t="s">
        <v>213</v>
      </c>
      <c r="G5" s="9" t="s">
        <v>214</v>
      </c>
    </row>
    <row r="6" spans="2:8" x14ac:dyDescent="0.35">
      <c r="B6" s="6" t="s">
        <v>31</v>
      </c>
      <c r="C6" s="6" t="s">
        <v>32</v>
      </c>
      <c r="D6" s="6" t="s">
        <v>33</v>
      </c>
      <c r="E6" s="35">
        <v>1</v>
      </c>
      <c r="F6" s="35">
        <v>15</v>
      </c>
      <c r="G6" s="6" t="str">
        <f t="shared" ref="G6:G15" si="0">IF(AND(F6&gt;=90,D6="TERMINATED"),"📦 พร้อม JP5",IF(F6&gt;=60,"⚠ ออกหนังสือบอกเลิก",IF(F6&gt;=45,"✉ หนังสือเตือน 45 วัน",IF(F6&gt;0,"⏳ ติดตามปกติ","✔ ปกติ"))))</f>
        <v>⏳ ติดตามปกติ</v>
      </c>
    </row>
    <row r="7" spans="2:8" x14ac:dyDescent="0.35">
      <c r="B7" s="6" t="s">
        <v>34</v>
      </c>
      <c r="C7" s="6" t="s">
        <v>35</v>
      </c>
      <c r="D7" s="6" t="s">
        <v>33</v>
      </c>
      <c r="E7" s="35">
        <v>1</v>
      </c>
      <c r="F7" s="35">
        <v>15</v>
      </c>
      <c r="G7" s="6" t="str">
        <f t="shared" si="0"/>
        <v>⏳ ติดตามปกติ</v>
      </c>
    </row>
    <row r="8" spans="2:8" x14ac:dyDescent="0.35">
      <c r="B8" s="6" t="s">
        <v>36</v>
      </c>
      <c r="C8" s="6" t="s">
        <v>37</v>
      </c>
      <c r="D8" s="6" t="s">
        <v>38</v>
      </c>
      <c r="E8" s="35">
        <v>3</v>
      </c>
      <c r="F8" s="35">
        <v>75</v>
      </c>
      <c r="G8" s="6" t="str">
        <f t="shared" si="0"/>
        <v>⚠ ออกหนังสือบอกเลิก</v>
      </c>
    </row>
    <row r="9" spans="2:8" x14ac:dyDescent="0.35">
      <c r="B9" s="6" t="s">
        <v>39</v>
      </c>
      <c r="C9" s="6" t="s">
        <v>40</v>
      </c>
      <c r="D9" s="6" t="s">
        <v>41</v>
      </c>
      <c r="E9" s="35">
        <v>5</v>
      </c>
      <c r="F9" s="35">
        <v>135</v>
      </c>
      <c r="G9" s="6" t="str">
        <f t="shared" si="0"/>
        <v>📦 พร้อม JP5</v>
      </c>
      <c r="H9" s="36" t="s">
        <v>215</v>
      </c>
    </row>
    <row r="10" spans="2:8" x14ac:dyDescent="0.35">
      <c r="B10" s="6" t="s">
        <v>42</v>
      </c>
      <c r="C10" s="6" t="s">
        <v>43</v>
      </c>
      <c r="D10" s="6" t="s">
        <v>41</v>
      </c>
      <c r="E10" s="35">
        <v>5</v>
      </c>
      <c r="F10" s="35">
        <v>135</v>
      </c>
      <c r="G10" s="6" t="str">
        <f t="shared" si="0"/>
        <v>📦 พร้อม JP5</v>
      </c>
    </row>
    <row r="11" spans="2:8" x14ac:dyDescent="0.35">
      <c r="B11" s="6" t="s">
        <v>44</v>
      </c>
      <c r="C11" s="6" t="s">
        <v>45</v>
      </c>
      <c r="D11" s="6" t="s">
        <v>41</v>
      </c>
      <c r="E11" s="35">
        <v>6</v>
      </c>
      <c r="F11" s="35">
        <v>165</v>
      </c>
      <c r="G11" s="6" t="str">
        <f t="shared" si="0"/>
        <v>📦 พร้อม JP5</v>
      </c>
    </row>
    <row r="12" spans="2:8" x14ac:dyDescent="0.35">
      <c r="B12" s="6" t="s">
        <v>46</v>
      </c>
      <c r="C12" s="6" t="s">
        <v>47</v>
      </c>
      <c r="D12" s="6" t="s">
        <v>41</v>
      </c>
      <c r="E12" s="35">
        <v>7</v>
      </c>
      <c r="F12" s="35">
        <v>195</v>
      </c>
      <c r="G12" s="6" t="str">
        <f t="shared" si="0"/>
        <v>📦 พร้อม JP5</v>
      </c>
    </row>
    <row r="13" spans="2:8" x14ac:dyDescent="0.35">
      <c r="B13" s="6" t="s">
        <v>48</v>
      </c>
      <c r="C13" s="6" t="s">
        <v>49</v>
      </c>
      <c r="D13" s="6" t="s">
        <v>41</v>
      </c>
      <c r="E13" s="35">
        <v>7</v>
      </c>
      <c r="F13" s="35">
        <v>195</v>
      </c>
      <c r="G13" s="6" t="str">
        <f t="shared" si="0"/>
        <v>📦 พร้อม JP5</v>
      </c>
    </row>
    <row r="14" spans="2:8" x14ac:dyDescent="0.35">
      <c r="B14" s="6" t="s">
        <v>50</v>
      </c>
      <c r="C14" s="6" t="s">
        <v>51</v>
      </c>
      <c r="D14" s="6" t="s">
        <v>41</v>
      </c>
      <c r="E14" s="35">
        <v>7</v>
      </c>
      <c r="F14" s="35">
        <v>195</v>
      </c>
      <c r="G14" s="6" t="str">
        <f t="shared" si="0"/>
        <v>📦 พร้อม JP5</v>
      </c>
    </row>
    <row r="15" spans="2:8" x14ac:dyDescent="0.35">
      <c r="B15" s="6" t="s">
        <v>52</v>
      </c>
      <c r="C15" s="6" t="s">
        <v>53</v>
      </c>
      <c r="D15" s="6" t="s">
        <v>54</v>
      </c>
      <c r="E15" s="35">
        <v>0</v>
      </c>
      <c r="F15" s="35">
        <v>0</v>
      </c>
      <c r="G15" s="6" t="str">
        <f t="shared" si="0"/>
        <v>✔ ปกติ</v>
      </c>
    </row>
    <row r="17" spans="2:6" x14ac:dyDescent="0.35">
      <c r="B17" s="17" t="s">
        <v>216</v>
      </c>
      <c r="E17" s="37">
        <f>COUNTIF(G6:G15,"📦 พร้อม JP5")</f>
        <v>6</v>
      </c>
      <c r="F17" s="2" t="s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5"/>
  <sheetViews>
    <sheetView workbookViewId="0"/>
  </sheetViews>
  <sheetFormatPr defaultRowHeight="14.5" x14ac:dyDescent="0.35"/>
  <cols>
    <col min="1" max="1" width="3" customWidth="1"/>
    <col min="2" max="2" width="6" customWidth="1"/>
    <col min="3" max="3" width="52" customWidth="1"/>
    <col min="4" max="4" width="44" customWidth="1"/>
  </cols>
  <sheetData>
    <row r="2" spans="2:4" ht="17.5" x14ac:dyDescent="0.35">
      <c r="B2" s="1" t="s">
        <v>218</v>
      </c>
    </row>
    <row r="4" spans="2:4" ht="15.5" x14ac:dyDescent="0.35">
      <c r="B4" s="3" t="s">
        <v>219</v>
      </c>
    </row>
    <row r="5" spans="2:4" ht="42" customHeight="1" x14ac:dyDescent="0.35">
      <c r="B5" s="38" t="s">
        <v>220</v>
      </c>
      <c r="C5" s="5" t="s">
        <v>221</v>
      </c>
      <c r="D5" s="39" t="s">
        <v>222</v>
      </c>
    </row>
    <row r="6" spans="2:4" ht="42" customHeight="1" x14ac:dyDescent="0.35">
      <c r="B6" s="38" t="s">
        <v>223</v>
      </c>
      <c r="C6" s="5" t="s">
        <v>224</v>
      </c>
      <c r="D6" s="39" t="s">
        <v>225</v>
      </c>
    </row>
    <row r="7" spans="2:4" ht="42" customHeight="1" x14ac:dyDescent="0.35">
      <c r="B7" s="38" t="s">
        <v>226</v>
      </c>
      <c r="C7" s="5" t="s">
        <v>227</v>
      </c>
      <c r="D7" s="39" t="s">
        <v>228</v>
      </c>
    </row>
    <row r="8" spans="2:4" ht="42" customHeight="1" x14ac:dyDescent="0.35">
      <c r="B8" s="38" t="s">
        <v>229</v>
      </c>
      <c r="C8" s="5" t="s">
        <v>230</v>
      </c>
      <c r="D8" s="39" t="s">
        <v>231</v>
      </c>
    </row>
    <row r="9" spans="2:4" ht="42" customHeight="1" x14ac:dyDescent="0.35">
      <c r="B9" s="38" t="s">
        <v>232</v>
      </c>
      <c r="C9" s="5" t="s">
        <v>233</v>
      </c>
      <c r="D9" s="39" t="s">
        <v>234</v>
      </c>
    </row>
    <row r="11" spans="2:4" ht="15.5" x14ac:dyDescent="0.35">
      <c r="B11" s="40" t="s">
        <v>235</v>
      </c>
    </row>
    <row r="12" spans="2:4" ht="42" customHeight="1" x14ac:dyDescent="0.35">
      <c r="B12" s="41" t="s">
        <v>236</v>
      </c>
      <c r="C12" s="42" t="s">
        <v>237</v>
      </c>
      <c r="D12" s="5" t="s">
        <v>238</v>
      </c>
    </row>
    <row r="13" spans="2:4" ht="42" customHeight="1" x14ac:dyDescent="0.35">
      <c r="B13" s="41" t="s">
        <v>239</v>
      </c>
      <c r="C13" s="42" t="s">
        <v>240</v>
      </c>
      <c r="D13" s="5" t="s">
        <v>238</v>
      </c>
    </row>
    <row r="15" spans="2:4" x14ac:dyDescent="0.35">
      <c r="C15" s="2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1-สรุปผู้บริหาร</vt:lpstr>
      <vt:lpstr>2-พอร์ตสัญญา</vt:lpstr>
      <vt:lpstr>3-Aging-Bucket</vt:lpstr>
      <vt:lpstr>4-Scenarios-สมศักดิ์</vt:lpstr>
      <vt:lpstr>5-JE-สมศักดิ์</vt:lpstr>
      <vt:lpstr>6-JP5-Breakdown</vt:lpstr>
      <vt:lpstr>7-ติดตามบอกเลิก</vt:lpstr>
      <vt:lpstr>8-CPA-Note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what_u_r@yahoo.com</cp:lastModifiedBy>
  <dcterms:created xsi:type="dcterms:W3CDTF">2026-07-27T04:00:17Z</dcterms:created>
  <dcterms:modified xsi:type="dcterms:W3CDTF">2026-07-27T04:00:36Z</dcterms:modified>
</cp:coreProperties>
</file>